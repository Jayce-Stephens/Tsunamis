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Tsunamis/"/>
    </mc:Choice>
  </mc:AlternateContent>
  <xr:revisionPtr revIDLastSave="0" documentId="8_{C56DE247-37E6-5C48-8528-60590202667E}" xr6:coauthVersionLast="47" xr6:coauthVersionMax="47" xr10:uidLastSave="{00000000-0000-0000-0000-000000000000}"/>
  <bookViews>
    <workbookView xWindow="20080" yWindow="6660" windowWidth="20720" windowHeight="13420" tabRatio="500" xr2:uid="{00000000-000D-0000-FFFF-FFFF00000000}"/>
  </bookViews>
  <sheets>
    <sheet name="Tsunamis" sheetId="10" r:id="rId1"/>
    <sheet name="-Disclaimer-" sheetId="2" r:id="rId2"/>
  </sheets>
  <definedNames>
    <definedName name="_xlnm.Print_Area" localSheetId="0">Tsunamis!$B$1:$I$80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4" i="10" l="1"/>
  <c r="H9" i="10"/>
  <c r="F8" i="10"/>
  <c r="G8" i="10"/>
  <c r="H20" i="10"/>
  <c r="H21" i="10"/>
  <c r="H23" i="10"/>
  <c r="H34" i="10"/>
  <c r="H35" i="10"/>
  <c r="H37" i="10"/>
  <c r="H64" i="10"/>
  <c r="G65" i="10" l="1"/>
  <c r="F65" i="10"/>
  <c r="H65" i="10" s="1"/>
  <c r="G22" i="10"/>
  <c r="F22" i="10"/>
  <c r="F36" i="10"/>
  <c r="G36" i="10"/>
  <c r="H5" i="10"/>
  <c r="H22" i="10" l="1"/>
  <c r="H36" i="10"/>
  <c r="H8" i="10"/>
</calcChain>
</file>

<file path=xl/sharedStrings.xml><?xml version="1.0" encoding="utf-8"?>
<sst xmlns="http://schemas.openxmlformats.org/spreadsheetml/2006/main" count="167" uniqueCount="102">
  <si>
    <t>Tsunamis Statement of Work</t>
  </si>
  <si>
    <t>Project Title</t>
  </si>
  <si>
    <t>Start Date</t>
  </si>
  <si>
    <t>Help Desk</t>
  </si>
  <si>
    <t>Project Duration</t>
  </si>
  <si>
    <t>Project Development Team</t>
  </si>
  <si>
    <t>End Date</t>
  </si>
  <si>
    <t>in days</t>
  </si>
  <si>
    <t>Eric (Lead), Jayce (Tester), Tre'sure (SWE), no Designer</t>
  </si>
  <si>
    <t>User Story #</t>
  </si>
  <si>
    <t>Status</t>
  </si>
  <si>
    <t>Use Cases</t>
  </si>
  <si>
    <r>
      <t>Duration (</t>
    </r>
    <r>
      <rPr>
        <b/>
        <sz val="10"/>
        <color rgb="FF001033"/>
        <rFont val="Century Gothic"/>
        <family val="1"/>
      </rPr>
      <t>in days)</t>
    </r>
  </si>
  <si>
    <t>Comments</t>
  </si>
  <si>
    <t>Eric</t>
  </si>
  <si>
    <t>Not Started</t>
  </si>
  <si>
    <r>
      <rPr>
        <sz val="11"/>
        <color rgb="FFFF0000"/>
        <rFont val="Century Gothic"/>
        <family val="1"/>
      </rPr>
      <t>#</t>
    </r>
    <r>
      <rPr>
        <sz val="11"/>
        <color theme="1"/>
        <rFont val="Century Gothic"/>
        <family val="1"/>
      </rPr>
      <t xml:space="preserve"> Update README with prioritized projects</t>
    </r>
  </si>
  <si>
    <t>On Hold</t>
  </si>
  <si>
    <t>SHA b6fa387</t>
  </si>
  <si>
    <t>What is this use case's user story number?  If no user story, make sure you add this as a user story in our final sprint.</t>
  </si>
  <si>
    <t>In Progress</t>
  </si>
  <si>
    <t>Complete</t>
  </si>
  <si>
    <t>Nov 26th: 5 commits, +616, -2</t>
  </si>
  <si>
    <t xml:space="preserve">Evaluate Dr. Edwards via Class Climate </t>
  </si>
  <si>
    <t>Evaluate team using Brightspace survey</t>
  </si>
  <si>
    <t>Jayce</t>
  </si>
  <si>
    <r>
      <rPr>
        <sz val="11"/>
        <color rgb="FFFF0000"/>
        <rFont val="Century Gothic"/>
        <family val="1"/>
      </rPr>
      <t>#</t>
    </r>
    <r>
      <rPr>
        <sz val="11"/>
        <color theme="1"/>
        <rFont val="Century Gothic"/>
        <family val="1"/>
      </rPr>
      <t xml:space="preserve"> Create initial driver and Scraper class to scrape (unprocessed) academic calendar</t>
    </r>
  </si>
  <si>
    <t>SHA 9eaf8aa</t>
  </si>
  <si>
    <t># Create function that returns the drop dates for each semester</t>
  </si>
  <si>
    <t>SHA 2b67803, d259f2b</t>
  </si>
  <si>
    <t>#Create test for functions in PerformScraping.py</t>
  </si>
  <si>
    <t>SHA 715e50c, cbcede1, 7d24d14, c449c6f, 91dc76b, 4009e4d</t>
  </si>
  <si>
    <t># Test resources.py</t>
  </si>
  <si>
    <t>SHA ef8e7cc, 91ecc54, 1c3a8a5, 72fd372, e155579, fc7bd08</t>
  </si>
  <si>
    <t>#Test every resources link to ensure nothing is broken</t>
  </si>
  <si>
    <t>SHA c962f98, d3153c0</t>
  </si>
  <si>
    <t>#Create tests for drop slip class</t>
  </si>
  <si>
    <t xml:space="preserve">SHA 327df74, 721c5cd, 8d15cfc, d0b2b22, 971b233, 917d06b, </t>
  </si>
  <si>
    <t>#Create tests for schedule class</t>
  </si>
  <si>
    <t>SHA 4decf9d</t>
  </si>
  <si>
    <t>I had more commits for this use case, but I had an issue merging the branch after the test fiolder was added.</t>
  </si>
  <si>
    <t>#Update checklist for team member contributions</t>
  </si>
  <si>
    <t>SHA 7e8229d</t>
  </si>
  <si>
    <t>Nov 26th: 9 commits, +176, -15</t>
  </si>
  <si>
    <t>Tre'sure</t>
  </si>
  <si>
    <r>
      <rPr>
        <sz val="11"/>
        <color rgb="FFFF0000"/>
        <rFont val="Century Gothic"/>
        <family val="1"/>
      </rPr>
      <t xml:space="preserve"># </t>
    </r>
    <r>
      <rPr>
        <sz val="11"/>
        <color theme="1"/>
        <rFont val="Century Gothic"/>
        <family val="1"/>
      </rPr>
      <t>Create Course data class (strangely your data class includes 2 functions that should be in the Course class), also called in the driver</t>
    </r>
  </si>
  <si>
    <t>SHA e45fb67, 064665a, 62aa1ef</t>
  </si>
  <si>
    <t>You and Eric need to figure out why Jayce is listed as a Contributor on our shared repo but tresurent is not.  Tre'sure can't earn points on this assignment unless she is a contributor to our shared repo.</t>
  </si>
  <si>
    <t>1(a)The student types the subject in the search bar.</t>
  </si>
  <si>
    <t>SHA 4f6dff1</t>
  </si>
  <si>
    <t>1(b)The page displays a scrollable list of courses for that subject</t>
  </si>
  <si>
    <t>1(c)The student clicks on the desired course.</t>
  </si>
  <si>
    <t>1(d)The student clicks on the desired course.</t>
  </si>
  <si>
    <t>1(e)The card displays the course description, CRN, prerequisites, and the add deadline</t>
  </si>
  <si>
    <t>1(f)Implement a function that reads course data from a CSV/JSON file.</t>
  </si>
  <si>
    <t>1(g)Implement a search function that filters courses by a subject code and returns them sorted by course number.</t>
  </si>
  <si>
    <t>1(h)Implement a "view_details" function that , given a selected, prints and shows the desciption, CRN, prerequisites, and add/drop dates.</t>
  </si>
  <si>
    <t>Nov 26th: 36 commits, +337, -250</t>
  </si>
  <si>
    <t>1(i)Verify that entering a invalid input will show a "No courses found" message instead of ending the code.</t>
  </si>
  <si>
    <t xml:space="preserve">SHA 4f6dff, ffeadef, </t>
  </si>
  <si>
    <t>6(a)CreAte a schedule class</t>
  </si>
  <si>
    <t>SHA 8e4d561</t>
  </si>
  <si>
    <t>6(b)Create a drop slip class</t>
  </si>
  <si>
    <t>SHA 9ec9ea1</t>
  </si>
  <si>
    <t>6(c)Create a function that writes to a drop slip file</t>
  </si>
  <si>
    <t>6(d)Retrieve the CRN and all other necessary information for a course.</t>
  </si>
  <si>
    <t>SHA 3e514a0</t>
  </si>
  <si>
    <t>6(e)]Check if the student is registered for the course</t>
  </si>
  <si>
    <t>6(f)The app prompts the user to enter the course that they wish to drop.</t>
  </si>
  <si>
    <t>SHA 7ef6f19</t>
  </si>
  <si>
    <t>4(d)Validate course code input: ensure the input is not empty and follows a pattern like SUBJECT + NUMBER.</t>
  </si>
  <si>
    <t>SHA abe82b5</t>
  </si>
  <si>
    <t>4(e)]Implement search function that takes the course code and checks the current semester’s course offerings.</t>
  </si>
  <si>
    <t>SHA 41bb0ed</t>
  </si>
  <si>
    <t>4(f) Display results for offered course: show “Course is offered this semester” and list all matching sections (CRN, days/times, instructor, seats).</t>
  </si>
  <si>
    <t>SHA  612067d</t>
  </si>
  <si>
    <t>4(g)Display message for not offered / not found course: show a clear message when no matching course exists for the semester.</t>
  </si>
  <si>
    <t>SHA 612067d</t>
  </si>
  <si>
    <t>4(h)Handle “all sections full” case: when course is offered but has no open seats, show a message like “All sections are full.”</t>
  </si>
  <si>
    <t>5(b)Build a resources module with URLs, icons, and categories.</t>
  </si>
  <si>
    <t>SHA 8e0ad41</t>
  </si>
  <si>
    <t>5(a)Show quick-link resources so I don’t have to search XULA’s website.</t>
  </si>
  <si>
    <t>SHA cd55f92</t>
  </si>
  <si>
    <t>5(c)Click “Drop Deadline Calendar” and see the dates instantly.</t>
  </si>
  <si>
    <t>SHA d6d3fdc</t>
  </si>
  <si>
    <t>5(f)Make professor office hours and emails displayed for common CPSC courses.</t>
  </si>
  <si>
    <t>SHA e4b6a80</t>
  </si>
  <si>
    <t>5(j)Store the resources in a JSON or CSV file so they’re easy to update later.</t>
  </si>
  <si>
    <t>SHA 6a2774e</t>
  </si>
  <si>
    <t>Vacant</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</si>
  <si>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</si>
  <si>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https://www.smartsheet.com/top-project-management-excel-templates?srsltid=AfmBOorM8KTqo0GkEazFKhVFp3ozfOh-BifeI1KKxQxM0WpR5p08gBRL</t>
  </si>
  <si>
    <t xml:space="preserve">#Course Offering User Story </t>
  </si>
  <si>
    <t>#GPA Calculator User Story</t>
  </si>
  <si>
    <t xml:space="preserve">#Project Maintenance (SDD, README, tests folder)  </t>
  </si>
  <si>
    <t xml:space="preserve">#Install &amp; configure requests + bs4 </t>
  </si>
  <si>
    <t>#Fix/organize test folder for test discovery</t>
  </si>
  <si>
    <t>SHA a88abe2</t>
  </si>
  <si>
    <t>SHA 7a59184</t>
  </si>
  <si>
    <t>SHA 266c6647, a98aef9, a277a4</t>
  </si>
  <si>
    <t xml:space="preserve">SHA 215af22 </t>
  </si>
  <si>
    <t>SHA 620f505 ,fbf1d88 ,090a8ae, c3b5e05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</si>
</sst>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2"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
      <sz val="11"/>
      <color theme="1"/>
      <name val="Century Gothic"/>
      <family val="2"/>
    </font>
    <font>
      <sz val="10"/>
      <color theme="1"/>
      <name val="Century Gothic"/>
      <family val="2"/>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2">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xf numFmtId="0" fontId="20" fillId="0" borderId="1" xfId="0" applyFont="1" applyBorder="1" applyAlignment="1">
      <alignment horizontal="left" vertical="center" wrapText="1" indent="2"/>
    </xf>
    <xf numFmtId="0" fontId="21" fillId="0" borderId="1" xfId="0" applyFont="1" applyBorder="1" applyAlignment="1">
      <alignment horizontal="left" vertical="center" wrapText="1" indent="1"/>
    </xf>
  </cellXfs>
  <cellStyles count="6">
    <cellStyle name="Followed Hyperlink" xfId="4" builtinId="9" hidden="1"/>
    <cellStyle name="Followed Hyperlink" xfId="3" builtinId="9" hidden="1"/>
    <cellStyle name="Followed Hyperlink" xfId="2"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Tsunamis!$F$7</c:f>
              <c:strCache>
                <c:ptCount val="1"/>
                <c:pt idx="0">
                  <c:v>Start Date</c:v>
                </c:pt>
              </c:strCache>
            </c:strRef>
          </c:tx>
          <c:spPr>
            <a:noFill/>
            <a:ln>
              <a:noFill/>
            </a:ln>
            <a:effectLst/>
          </c:spPr>
          <c:invertIfNegative val="0"/>
          <c:cat>
            <c:strRef>
              <c:f>Tsunamis!$C$8:$C$78</c:f>
              <c:strCache>
                <c:ptCount val="58"/>
                <c:pt idx="0">
                  <c:v>Eric</c:v>
                </c:pt>
                <c:pt idx="1">
                  <c:v># Update README with prioritized projects</c:v>
                </c:pt>
                <c:pt idx="2">
                  <c:v>#Course Offering User Story </c:v>
                </c:pt>
                <c:pt idx="3">
                  <c:v>#GPA Calculator User Story</c:v>
                </c:pt>
                <c:pt idx="4">
                  <c:v>#Project Maintenance (SDD, README, tests folder)  </c:v>
                </c:pt>
                <c:pt idx="5">
                  <c:v>#Install &amp; configure requests + bs4 </c:v>
                </c:pt>
                <c:pt idx="6">
                  <c:v>#Fix/organize test folder for test discovery</c:v>
                </c:pt>
                <c:pt idx="12">
                  <c:v>Evaluate Dr. Edwards via Class Climate </c:v>
                </c:pt>
                <c:pt idx="13">
                  <c:v>Evaluate team using Brightspace survey</c:v>
                </c:pt>
                <c:pt idx="14">
                  <c:v>Jayce</c:v>
                </c:pt>
                <c:pt idx="15">
                  <c:v># Create initial driver and Scraper class to scrape (unprocessed) academic calendar</c:v>
                </c:pt>
                <c:pt idx="16">
                  <c:v># Create function that returns the drop dates for each semester</c:v>
                </c:pt>
                <c:pt idx="17">
                  <c:v>#Create test for functions in PerformScraping.py</c:v>
                </c:pt>
                <c:pt idx="18">
                  <c:v># Test resources.py</c:v>
                </c:pt>
                <c:pt idx="19">
                  <c:v>#Test every resources link to ensure nothing is broken</c:v>
                </c:pt>
                <c:pt idx="20">
                  <c:v>#Create tests for drop slip class</c:v>
                </c:pt>
                <c:pt idx="21">
                  <c:v>#Create tests for schedule class</c:v>
                </c:pt>
                <c:pt idx="22">
                  <c:v>#Update checklist for team member contributions</c:v>
                </c:pt>
                <c:pt idx="26">
                  <c:v>Evaluate Dr. Edwards via Class Climate </c:v>
                </c:pt>
                <c:pt idx="27">
                  <c:v>Evaluate team using Brightspace survey</c:v>
                </c:pt>
                <c:pt idx="28">
                  <c:v>Tre'sure</c:v>
                </c:pt>
                <c:pt idx="29">
                  <c:v># Create Course data class (strangely your data class includes 2 functions that should be in the Course class), also called in the driver</c:v>
                </c:pt>
                <c:pt idx="30">
                  <c:v>1(a)The student types the subject in the search bar.</c:v>
                </c:pt>
                <c:pt idx="31">
                  <c:v>1(b)The page displays a scrollable list of courses for that subject</c:v>
                </c:pt>
                <c:pt idx="32">
                  <c:v>1(c)The student clicks on the desired course.</c:v>
                </c:pt>
                <c:pt idx="33">
                  <c:v>1(d)The student clicks on the desired course.</c:v>
                </c:pt>
                <c:pt idx="34">
                  <c:v>1(e)The card displays the course description, CRN, prerequisites, and the add deadline</c:v>
                </c:pt>
                <c:pt idx="35">
                  <c:v>1(f)Implement a function that reads course data from a CSV/JSON file.</c:v>
                </c:pt>
                <c:pt idx="36">
                  <c:v>1(g)Implement a search function that filters courses by a subject code and returns them sorted by course number.</c:v>
                </c:pt>
                <c:pt idx="37">
                  <c:v>1(h)Implement a "view_details" function that , given a selected, prints and shows the desciption, CRN, prerequisites, and add/drop dates.</c:v>
                </c:pt>
                <c:pt idx="38">
                  <c:v>1(i)Verify that entering a invalid input will show a "No courses found" message instead of ending the code.</c:v>
                </c:pt>
                <c:pt idx="39">
                  <c:v>6(a)CreAte a schedule class</c:v>
                </c:pt>
                <c:pt idx="40">
                  <c:v>6(b)Create a drop slip class</c:v>
                </c:pt>
                <c:pt idx="41">
                  <c:v>6(c)Create a function that writes to a drop slip file</c:v>
                </c:pt>
                <c:pt idx="42">
                  <c:v>6(d)Retrieve the CRN and all other necessary information for a course.</c:v>
                </c:pt>
                <c:pt idx="43">
                  <c:v>6(e)]Check if the student is registered for the course</c:v>
                </c:pt>
                <c:pt idx="44">
                  <c:v>6(f)The app prompts the user to enter the course that they wish to drop.</c:v>
                </c:pt>
                <c:pt idx="45">
                  <c:v>4(d)Validate course code input: ensure the input is not empty and follows a pattern like SUBJECT + NUMBER.</c:v>
                </c:pt>
                <c:pt idx="46">
                  <c:v>4(e)]Implement search function that takes the course code and checks the current semester’s course offerings.</c:v>
                </c:pt>
                <c:pt idx="47">
                  <c:v>4(f) Display results for offered course: show “Course is offered this semester” and list all matching sections (CRN, days/times, instructor, seats).</c:v>
                </c:pt>
                <c:pt idx="48">
                  <c:v>4(g)Display message for not offered / not found course: show a clear message when no matching course exists for the semester.</c:v>
                </c:pt>
                <c:pt idx="49">
                  <c:v>4(h)Handle “all sections full” case: when course is offered but has no open seats, show a message like “All sections are full.”</c:v>
                </c:pt>
                <c:pt idx="50">
                  <c:v>5(b)Build a resources module with URLs, icons, and categories.</c:v>
                </c:pt>
                <c:pt idx="51">
                  <c:v>5(a)Show quick-link resources so I don’t have to search XULA’s website.</c:v>
                </c:pt>
                <c:pt idx="52">
                  <c:v>5(c)Click “Drop Deadline Calendar” and see the dates instantly.</c:v>
                </c:pt>
                <c:pt idx="53">
                  <c:v>5(f)Make professor office hours and emails displayed for common CPSC courses.</c:v>
                </c:pt>
                <c:pt idx="54">
                  <c:v>5(j)Store the resources in a JSON or CSV file so they’re easy to update later.</c:v>
                </c:pt>
                <c:pt idx="55">
                  <c:v>Evaluate Dr. Edwards via Class Climate </c:v>
                </c:pt>
                <c:pt idx="56">
                  <c:v>Evaluate team using Brightspace survey</c:v>
                </c:pt>
                <c:pt idx="57">
                  <c:v>Vacant</c:v>
                </c:pt>
              </c:strCache>
            </c:strRef>
          </c:cat>
          <c:val>
            <c:numRef>
              <c:f>Tsunamis!$F$8:$F$78</c:f>
              <c:numCache>
                <c:formatCode>m/d;@</c:formatCode>
                <c:ptCount val="71"/>
                <c:pt idx="0">
                  <c:v>45972</c:v>
                </c:pt>
                <c:pt idx="1">
                  <c:v>45972</c:v>
                </c:pt>
                <c:pt idx="2">
                  <c:v>45972</c:v>
                </c:pt>
                <c:pt idx="3">
                  <c:v>45972</c:v>
                </c:pt>
                <c:pt idx="4">
                  <c:v>45983</c:v>
                </c:pt>
                <c:pt idx="5">
                  <c:v>45983</c:v>
                </c:pt>
                <c:pt idx="6">
                  <c:v>45981</c:v>
                </c:pt>
                <c:pt idx="12">
                  <c:v>45983</c:v>
                </c:pt>
                <c:pt idx="13">
                  <c:v>45992</c:v>
                </c:pt>
                <c:pt idx="14">
                  <c:v>45981</c:v>
                </c:pt>
                <c:pt idx="15">
                  <c:v>45981</c:v>
                </c:pt>
                <c:pt idx="16">
                  <c:v>45982</c:v>
                </c:pt>
                <c:pt idx="17">
                  <c:v>45984</c:v>
                </c:pt>
                <c:pt idx="18">
                  <c:v>45992</c:v>
                </c:pt>
                <c:pt idx="19">
                  <c:v>45992</c:v>
                </c:pt>
                <c:pt idx="20">
                  <c:v>45992</c:v>
                </c:pt>
                <c:pt idx="21">
                  <c:v>45992</c:v>
                </c:pt>
                <c:pt idx="22">
                  <c:v>45992</c:v>
                </c:pt>
                <c:pt idx="26">
                  <c:v>45983</c:v>
                </c:pt>
                <c:pt idx="27">
                  <c:v>45992</c:v>
                </c:pt>
                <c:pt idx="28">
                  <c:v>45973</c:v>
                </c:pt>
                <c:pt idx="29">
                  <c:v>45973</c:v>
                </c:pt>
                <c:pt idx="30">
                  <c:v>45984</c:v>
                </c:pt>
                <c:pt idx="31">
                  <c:v>45984</c:v>
                </c:pt>
                <c:pt idx="32">
                  <c:v>45984</c:v>
                </c:pt>
                <c:pt idx="33">
                  <c:v>45984</c:v>
                </c:pt>
                <c:pt idx="34">
                  <c:v>45984</c:v>
                </c:pt>
                <c:pt idx="35">
                  <c:v>45984</c:v>
                </c:pt>
                <c:pt idx="36">
                  <c:v>45984</c:v>
                </c:pt>
                <c:pt idx="37">
                  <c:v>45984</c:v>
                </c:pt>
                <c:pt idx="38">
                  <c:v>45984</c:v>
                </c:pt>
                <c:pt idx="39">
                  <c:v>45990</c:v>
                </c:pt>
                <c:pt idx="40">
                  <c:v>45990</c:v>
                </c:pt>
                <c:pt idx="41">
                  <c:v>45990</c:v>
                </c:pt>
                <c:pt idx="42">
                  <c:v>45990</c:v>
                </c:pt>
                <c:pt idx="43">
                  <c:v>45990</c:v>
                </c:pt>
                <c:pt idx="44">
                  <c:v>45990</c:v>
                </c:pt>
                <c:pt idx="45">
                  <c:v>45990</c:v>
                </c:pt>
                <c:pt idx="46">
                  <c:v>45990</c:v>
                </c:pt>
                <c:pt idx="47">
                  <c:v>45990</c:v>
                </c:pt>
                <c:pt idx="48">
                  <c:v>45990</c:v>
                </c:pt>
                <c:pt idx="49">
                  <c:v>45990</c:v>
                </c:pt>
                <c:pt idx="50">
                  <c:v>45990</c:v>
                </c:pt>
                <c:pt idx="51">
                  <c:v>45990</c:v>
                </c:pt>
                <c:pt idx="52">
                  <c:v>45990</c:v>
                </c:pt>
                <c:pt idx="53">
                  <c:v>45990</c:v>
                </c:pt>
                <c:pt idx="54">
                  <c:v>45990</c:v>
                </c:pt>
                <c:pt idx="55">
                  <c:v>45983</c:v>
                </c:pt>
                <c:pt idx="56">
                  <c:v>45992</c:v>
                </c:pt>
                <c:pt idx="57">
                  <c:v>0</c:v>
                </c:pt>
              </c:numCache>
            </c:numRef>
          </c:val>
          <c:extLst>
            <c:ext xmlns:c16="http://schemas.microsoft.com/office/drawing/2014/chart" uri="{C3380CC4-5D6E-409C-BE32-E72D297353CC}">
              <c16:uniqueId val="{00000000-8C3B-6B4E-8271-047982C56358}"/>
            </c:ext>
          </c:extLst>
        </c:ser>
        <c:ser>
          <c:idx val="1"/>
          <c:order val="1"/>
          <c:tx>
            <c:strRef>
              <c:f>Tsunamis!$H$7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55"/>
            <c:invertIfNegative val="0"/>
            <c:bubble3D val="0"/>
            <c:spPr>
              <a:solidFill>
                <a:srgbClr val="FFC000">
                  <a:alpha val="79000"/>
                </a:srgbClr>
              </a:solidFill>
              <a:ln>
                <a:noFill/>
              </a:ln>
              <a:effectLst/>
            </c:spPr>
            <c:extLst>
              <c:ext xmlns:c16="http://schemas.microsoft.com/office/drawing/2014/chart" uri="{C3380CC4-5D6E-409C-BE32-E72D297353CC}">
                <c16:uniqueId val="{00000055-2861-6041-83A9-82CE5B359BF0}"/>
              </c:ext>
            </c:extLst>
          </c:dPt>
          <c:dPt>
            <c:idx val="56"/>
            <c:invertIfNegative val="0"/>
            <c:bubble3D val="0"/>
            <c:spPr>
              <a:solidFill>
                <a:srgbClr val="FFC000">
                  <a:alpha val="79000"/>
                </a:srgbClr>
              </a:solidFill>
              <a:ln>
                <a:noFill/>
              </a:ln>
              <a:effectLst/>
            </c:spPr>
            <c:extLst>
              <c:ext xmlns:c16="http://schemas.microsoft.com/office/drawing/2014/chart" uri="{C3380CC4-5D6E-409C-BE32-E72D297353CC}">
                <c16:uniqueId val="{00000059-6BD6-44B2-A88A-2EC0EE8AD4B3}"/>
              </c:ext>
            </c:extLst>
          </c:dPt>
          <c:dPt>
            <c:idx val="57"/>
            <c:invertIfNegative val="0"/>
            <c:bubble3D val="0"/>
            <c:spPr>
              <a:solidFill>
                <a:schemeClr val="tx1">
                  <a:alpha val="79000"/>
                </a:schemeClr>
              </a:solidFill>
              <a:ln>
                <a:noFill/>
              </a:ln>
              <a:effectLst/>
            </c:spPr>
            <c:extLst>
              <c:ext xmlns:c16="http://schemas.microsoft.com/office/drawing/2014/chart" uri="{C3380CC4-5D6E-409C-BE32-E72D297353CC}">
                <c16:uniqueId val="{0000005B-6BD6-44B2-A88A-2EC0EE8AD4B3}"/>
              </c:ext>
            </c:extLst>
          </c:dPt>
          <c:dPt>
            <c:idx val="5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D-6BD6-44B2-A88A-2EC0EE8AD4B3}"/>
              </c:ext>
            </c:extLst>
          </c:dPt>
          <c:dPt>
            <c:idx val="5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F-6BD6-44B2-A88A-2EC0EE8AD4B3}"/>
              </c:ext>
            </c:extLst>
          </c:dPt>
          <c:dPt>
            <c:idx val="6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1-6BD6-44B2-A88A-2EC0EE8AD4B3}"/>
              </c:ext>
            </c:extLst>
          </c:dPt>
          <c:dPt>
            <c:idx val="6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3-6BD6-44B2-A88A-2EC0EE8AD4B3}"/>
              </c:ext>
            </c:extLst>
          </c:dPt>
          <c:dPt>
            <c:idx val="6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5-6BD6-44B2-A88A-2EC0EE8AD4B3}"/>
              </c:ext>
            </c:extLst>
          </c:dPt>
          <c:dPt>
            <c:idx val="6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7-6BD6-44B2-A88A-2EC0EE8AD4B3}"/>
              </c:ext>
            </c:extLst>
          </c:dPt>
          <c:dPt>
            <c:idx val="6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9-6BD6-44B2-A88A-2EC0EE8AD4B3}"/>
              </c:ext>
            </c:extLst>
          </c:dPt>
          <c:dPt>
            <c:idx val="6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B-6BD6-44B2-A88A-2EC0EE8AD4B3}"/>
              </c:ext>
            </c:extLst>
          </c:dPt>
          <c:dPt>
            <c:idx val="6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D-6BD6-44B2-A88A-2EC0EE8AD4B3}"/>
              </c:ext>
            </c:extLst>
          </c:dPt>
          <c:dPt>
            <c:idx val="6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F-6BD6-44B2-A88A-2EC0EE8AD4B3}"/>
              </c:ext>
            </c:extLst>
          </c:dPt>
          <c:dPt>
            <c:idx val="6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B-544C-4B91-929F-D4D47FFBE06C}"/>
              </c:ext>
            </c:extLst>
          </c:dPt>
          <c:dPt>
            <c:idx val="6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D-544C-4B91-929F-D4D47FFBE06C}"/>
              </c:ext>
            </c:extLst>
          </c:dPt>
          <c:dPt>
            <c:idx val="7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6F-544C-4B91-929F-D4D47FFBE06C}"/>
              </c:ext>
            </c:extLst>
          </c:dPt>
          <c:cat>
            <c:strRef>
              <c:f>Tsunamis!$C$8:$C$78</c:f>
              <c:strCache>
                <c:ptCount val="58"/>
                <c:pt idx="0">
                  <c:v>Eric</c:v>
                </c:pt>
                <c:pt idx="1">
                  <c:v># Update README with prioritized projects</c:v>
                </c:pt>
                <c:pt idx="2">
                  <c:v>#Course Offering User Story </c:v>
                </c:pt>
                <c:pt idx="3">
                  <c:v>#GPA Calculator User Story</c:v>
                </c:pt>
                <c:pt idx="4">
                  <c:v>#Project Maintenance (SDD, README, tests folder)  </c:v>
                </c:pt>
                <c:pt idx="5">
                  <c:v>#Install &amp; configure requests + bs4 </c:v>
                </c:pt>
                <c:pt idx="6">
                  <c:v>#Fix/organize test folder for test discovery</c:v>
                </c:pt>
                <c:pt idx="12">
                  <c:v>Evaluate Dr. Edwards via Class Climate </c:v>
                </c:pt>
                <c:pt idx="13">
                  <c:v>Evaluate team using Brightspace survey</c:v>
                </c:pt>
                <c:pt idx="14">
                  <c:v>Jayce</c:v>
                </c:pt>
                <c:pt idx="15">
                  <c:v># Create initial driver and Scraper class to scrape (unprocessed) academic calendar</c:v>
                </c:pt>
                <c:pt idx="16">
                  <c:v># Create function that returns the drop dates for each semester</c:v>
                </c:pt>
                <c:pt idx="17">
                  <c:v>#Create test for functions in PerformScraping.py</c:v>
                </c:pt>
                <c:pt idx="18">
                  <c:v># Test resources.py</c:v>
                </c:pt>
                <c:pt idx="19">
                  <c:v>#Test every resources link to ensure nothing is broken</c:v>
                </c:pt>
                <c:pt idx="20">
                  <c:v>#Create tests for drop slip class</c:v>
                </c:pt>
                <c:pt idx="21">
                  <c:v>#Create tests for schedule class</c:v>
                </c:pt>
                <c:pt idx="22">
                  <c:v>#Update checklist for team member contributions</c:v>
                </c:pt>
                <c:pt idx="26">
                  <c:v>Evaluate Dr. Edwards via Class Climate </c:v>
                </c:pt>
                <c:pt idx="27">
                  <c:v>Evaluate team using Brightspace survey</c:v>
                </c:pt>
                <c:pt idx="28">
                  <c:v>Tre'sure</c:v>
                </c:pt>
                <c:pt idx="29">
                  <c:v># Create Course data class (strangely your data class includes 2 functions that should be in the Course class), also called in the driver</c:v>
                </c:pt>
                <c:pt idx="30">
                  <c:v>1(a)The student types the subject in the search bar.</c:v>
                </c:pt>
                <c:pt idx="31">
                  <c:v>1(b)The page displays a scrollable list of courses for that subject</c:v>
                </c:pt>
                <c:pt idx="32">
                  <c:v>1(c)The student clicks on the desired course.</c:v>
                </c:pt>
                <c:pt idx="33">
                  <c:v>1(d)The student clicks on the desired course.</c:v>
                </c:pt>
                <c:pt idx="34">
                  <c:v>1(e)The card displays the course description, CRN, prerequisites, and the add deadline</c:v>
                </c:pt>
                <c:pt idx="35">
                  <c:v>1(f)Implement a function that reads course data from a CSV/JSON file.</c:v>
                </c:pt>
                <c:pt idx="36">
                  <c:v>1(g)Implement a search function that filters courses by a subject code and returns them sorted by course number.</c:v>
                </c:pt>
                <c:pt idx="37">
                  <c:v>1(h)Implement a "view_details" function that , given a selected, prints and shows the desciption, CRN, prerequisites, and add/drop dates.</c:v>
                </c:pt>
                <c:pt idx="38">
                  <c:v>1(i)Verify that entering a invalid input will show a "No courses found" message instead of ending the code.</c:v>
                </c:pt>
                <c:pt idx="39">
                  <c:v>6(a)CreAte a schedule class</c:v>
                </c:pt>
                <c:pt idx="40">
                  <c:v>6(b)Create a drop slip class</c:v>
                </c:pt>
                <c:pt idx="41">
                  <c:v>6(c)Create a function that writes to a drop slip file</c:v>
                </c:pt>
                <c:pt idx="42">
                  <c:v>6(d)Retrieve the CRN and all other necessary information for a course.</c:v>
                </c:pt>
                <c:pt idx="43">
                  <c:v>6(e)]Check if the student is registered for the course</c:v>
                </c:pt>
                <c:pt idx="44">
                  <c:v>6(f)The app prompts the user to enter the course that they wish to drop.</c:v>
                </c:pt>
                <c:pt idx="45">
                  <c:v>4(d)Validate course code input: ensure the input is not empty and follows a pattern like SUBJECT + NUMBER.</c:v>
                </c:pt>
                <c:pt idx="46">
                  <c:v>4(e)]Implement search function that takes the course code and checks the current semester’s course offerings.</c:v>
                </c:pt>
                <c:pt idx="47">
                  <c:v>4(f) Display results for offered course: show “Course is offered this semester” and list all matching sections (CRN, days/times, instructor, seats).</c:v>
                </c:pt>
                <c:pt idx="48">
                  <c:v>4(g)Display message for not offered / not found course: show a clear message when no matching course exists for the semester.</c:v>
                </c:pt>
                <c:pt idx="49">
                  <c:v>4(h)Handle “all sections full” case: when course is offered but has no open seats, show a message like “All sections are full.”</c:v>
                </c:pt>
                <c:pt idx="50">
                  <c:v>5(b)Build a resources module with URLs, icons, and categories.</c:v>
                </c:pt>
                <c:pt idx="51">
                  <c:v>5(a)Show quick-link resources so I don’t have to search XULA’s website.</c:v>
                </c:pt>
                <c:pt idx="52">
                  <c:v>5(c)Click “Drop Deadline Calendar” and see the dates instantly.</c:v>
                </c:pt>
                <c:pt idx="53">
                  <c:v>5(f)Make professor office hours and emails displayed for common CPSC courses.</c:v>
                </c:pt>
                <c:pt idx="54">
                  <c:v>5(j)Store the resources in a JSON or CSV file so they’re easy to update later.</c:v>
                </c:pt>
                <c:pt idx="55">
                  <c:v>Evaluate Dr. Edwards via Class Climate </c:v>
                </c:pt>
                <c:pt idx="56">
                  <c:v>Evaluate team using Brightspace survey</c:v>
                </c:pt>
                <c:pt idx="57">
                  <c:v>Vacant</c:v>
                </c:pt>
              </c:strCache>
            </c:strRef>
          </c:cat>
          <c:val>
            <c:numRef>
              <c:f>Tsunamis!$H$8:$H$78</c:f>
              <c:numCache>
                <c:formatCode>0</c:formatCode>
                <c:ptCount val="71"/>
                <c:pt idx="0">
                  <c:v>28</c:v>
                </c:pt>
                <c:pt idx="1">
                  <c:v>1</c:v>
                </c:pt>
                <c:pt idx="12">
                  <c:v>17</c:v>
                </c:pt>
                <c:pt idx="13">
                  <c:v>1</c:v>
                </c:pt>
                <c:pt idx="14">
                  <c:v>19</c:v>
                </c:pt>
                <c:pt idx="15">
                  <c:v>1</c:v>
                </c:pt>
                <c:pt idx="16">
                  <c:v>1</c:v>
                </c:pt>
                <c:pt idx="17">
                  <c:v>1</c:v>
                </c:pt>
                <c:pt idx="18">
                  <c:v>1</c:v>
                </c:pt>
                <c:pt idx="19">
                  <c:v>1</c:v>
                </c:pt>
                <c:pt idx="20">
                  <c:v>1</c:v>
                </c:pt>
                <c:pt idx="21">
                  <c:v>1</c:v>
                </c:pt>
                <c:pt idx="22">
                  <c:v>1</c:v>
                </c:pt>
                <c:pt idx="26">
                  <c:v>17</c:v>
                </c:pt>
                <c:pt idx="27">
                  <c:v>1</c:v>
                </c:pt>
                <c:pt idx="28" formatCode="General">
                  <c:v>27</c:v>
                </c:pt>
                <c:pt idx="29">
                  <c:v>3</c:v>
                </c:pt>
                <c:pt idx="30">
                  <c:v>3</c:v>
                </c:pt>
                <c:pt idx="31">
                  <c:v>3</c:v>
                </c:pt>
                <c:pt idx="32">
                  <c:v>3</c:v>
                </c:pt>
                <c:pt idx="33">
                  <c:v>3</c:v>
                </c:pt>
                <c:pt idx="34">
                  <c:v>3</c:v>
                </c:pt>
                <c:pt idx="35">
                  <c:v>3</c:v>
                </c:pt>
                <c:pt idx="37">
                  <c:v>3</c:v>
                </c:pt>
                <c:pt idx="38">
                  <c:v>3</c:v>
                </c:pt>
                <c:pt idx="39">
                  <c:v>1</c:v>
                </c:pt>
                <c:pt idx="40">
                  <c:v>1</c:v>
                </c:pt>
                <c:pt idx="41">
                  <c:v>1</c:v>
                </c:pt>
                <c:pt idx="42">
                  <c:v>1</c:v>
                </c:pt>
                <c:pt idx="43">
                  <c:v>1</c:v>
                </c:pt>
                <c:pt idx="44">
                  <c:v>1</c:v>
                </c:pt>
                <c:pt idx="45">
                  <c:v>2</c:v>
                </c:pt>
                <c:pt idx="46">
                  <c:v>2</c:v>
                </c:pt>
                <c:pt idx="47">
                  <c:v>2</c:v>
                </c:pt>
                <c:pt idx="48">
                  <c:v>2</c:v>
                </c:pt>
                <c:pt idx="49">
                  <c:v>2</c:v>
                </c:pt>
                <c:pt idx="50">
                  <c:v>2</c:v>
                </c:pt>
                <c:pt idx="51">
                  <c:v>2</c:v>
                </c:pt>
                <c:pt idx="52">
                  <c:v>2</c:v>
                </c:pt>
                <c:pt idx="53">
                  <c:v>2</c:v>
                </c:pt>
                <c:pt idx="54">
                  <c:v>2</c:v>
                </c:pt>
                <c:pt idx="56">
                  <c:v>1</c:v>
                </c:pt>
                <c:pt idx="57" formatCode="General">
                  <c:v>0</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78</xdr:row>
      <xdr:rowOff>114300</xdr:rowOff>
    </xdr:from>
    <xdr:to>
      <xdr:col>8</xdr:col>
      <xdr:colOff>3860800</xdr:colOff>
      <xdr:row>80</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12700</xdr:colOff>
      <xdr:row>12</xdr:row>
      <xdr:rowOff>63500</xdr:rowOff>
    </xdr:from>
    <xdr:to>
      <xdr:col>19</xdr:col>
      <xdr:colOff>101600</xdr:colOff>
      <xdr:row>17</xdr:row>
      <xdr:rowOff>101600</xdr:rowOff>
    </xdr:to>
    <xdr:pic>
      <xdr:nvPicPr>
        <xdr:cNvPr id="7" name="Picture 6">
          <a:extLst>
            <a:ext uri="{FF2B5EF4-FFF2-40B4-BE49-F238E27FC236}">
              <a16:creationId xmlns:a16="http://schemas.microsoft.com/office/drawing/2014/main" id="{CE959E3E-23AE-2E84-66D6-B6C28F8E32F4}"/>
            </a:ext>
          </a:extLst>
        </xdr:cNvPr>
        <xdr:cNvPicPr>
          <a:picLocks noChangeAspect="1"/>
        </xdr:cNvPicPr>
      </xdr:nvPicPr>
      <xdr:blipFill>
        <a:blip xmlns:r="http://schemas.openxmlformats.org/officeDocument/2006/relationships" r:embed="rId2"/>
        <a:stretch>
          <a:fillRect/>
        </a:stretch>
      </xdr:blipFill>
      <xdr:spPr>
        <a:xfrm>
          <a:off x="15671800" y="4241800"/>
          <a:ext cx="7620000" cy="1625600"/>
        </a:xfrm>
        <a:prstGeom prst="rect">
          <a:avLst/>
        </a:prstGeom>
      </xdr:spPr>
    </xdr:pic>
    <xdr:clientData/>
  </xdr:twoCellAnchor>
  <xdr:twoCellAnchor editAs="oneCell">
    <xdr:from>
      <xdr:col>9</xdr:col>
      <xdr:colOff>228600</xdr:colOff>
      <xdr:row>25</xdr:row>
      <xdr:rowOff>50800</xdr:rowOff>
    </xdr:from>
    <xdr:to>
      <xdr:col>19</xdr:col>
      <xdr:colOff>63500</xdr:colOff>
      <xdr:row>30</xdr:row>
      <xdr:rowOff>88900</xdr:rowOff>
    </xdr:to>
    <xdr:pic>
      <xdr:nvPicPr>
        <xdr:cNvPr id="8" name="Picture 7">
          <a:extLst>
            <a:ext uri="{FF2B5EF4-FFF2-40B4-BE49-F238E27FC236}">
              <a16:creationId xmlns:a16="http://schemas.microsoft.com/office/drawing/2014/main" id="{F6740DC9-C1AD-8861-A1CC-D7D8B2588AAC}"/>
            </a:ext>
          </a:extLst>
        </xdr:cNvPr>
        <xdr:cNvPicPr>
          <a:picLocks noChangeAspect="1"/>
        </xdr:cNvPicPr>
      </xdr:nvPicPr>
      <xdr:blipFill>
        <a:blip xmlns:r="http://schemas.openxmlformats.org/officeDocument/2006/relationships" r:embed="rId3"/>
        <a:stretch>
          <a:fillRect/>
        </a:stretch>
      </xdr:blipFill>
      <xdr:spPr>
        <a:xfrm>
          <a:off x="15633700" y="84201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24"/>
  <sheetViews>
    <sheetView showGridLines="0" tabSelected="1" topLeftCell="B1" workbookViewId="0">
      <pane ySplit="1" topLeftCell="A51" activePane="bottomLeft" state="frozen"/>
      <selection pane="bottomLeft" activeCell="E15" sqref="E15"/>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1</v>
      </c>
      <c r="D2" s="18"/>
      <c r="E2" s="18" t="s">
        <v>2</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3</v>
      </c>
      <c r="D3" s="1"/>
      <c r="E3" s="27">
        <v>45970</v>
      </c>
      <c r="F3" s="36"/>
      <c r="G3" s="36"/>
      <c r="H3" s="1" t="s">
        <v>4</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5</v>
      </c>
      <c r="D4" s="18"/>
      <c r="E4" s="22" t="s">
        <v>6</v>
      </c>
      <c r="F4" s="35"/>
      <c r="G4" s="35"/>
      <c r="H4" s="18" t="s">
        <v>7</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8</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9</v>
      </c>
      <c r="D7" s="24" t="s">
        <v>10</v>
      </c>
      <c r="E7" s="24" t="s">
        <v>11</v>
      </c>
      <c r="F7" s="37" t="s">
        <v>2</v>
      </c>
      <c r="G7" s="38" t="s">
        <v>6</v>
      </c>
      <c r="H7" s="32" t="s">
        <v>12</v>
      </c>
      <c r="I7" s="24" t="s">
        <v>13</v>
      </c>
      <c r="J7" s="10"/>
      <c r="K7" s="31" t="s">
        <v>10</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14</v>
      </c>
      <c r="D8" s="25"/>
      <c r="E8" s="25"/>
      <c r="F8" s="64">
        <f>MIN(F9:F21)</f>
        <v>45972</v>
      </c>
      <c r="G8" s="65">
        <f>MAX(G9:G21)</f>
        <v>45999</v>
      </c>
      <c r="H8" s="66">
        <f>IF(F8=0,0,G8-F8)+1</f>
        <v>28</v>
      </c>
      <c r="I8" s="25"/>
      <c r="J8" s="47"/>
      <c r="K8" s="67" t="s">
        <v>15</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t="s">
        <v>16</v>
      </c>
      <c r="D9" s="3" t="s">
        <v>17</v>
      </c>
      <c r="E9" s="4" t="s">
        <v>18</v>
      </c>
      <c r="F9" s="40">
        <v>45972</v>
      </c>
      <c r="G9" s="40">
        <v>45972</v>
      </c>
      <c r="H9" s="45">
        <f t="shared" ref="H9" si="0">IF(OR(F9=0, ISBLANK(F9)),0,G9-F9+1)</f>
        <v>1</v>
      </c>
      <c r="I9" s="78" t="s">
        <v>19</v>
      </c>
      <c r="J9" s="8"/>
      <c r="K9" s="30" t="s">
        <v>20</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t="s">
        <v>92</v>
      </c>
      <c r="D10" s="3" t="s">
        <v>21</v>
      </c>
      <c r="E10" s="4" t="s">
        <v>100</v>
      </c>
      <c r="F10" s="40">
        <v>45972</v>
      </c>
      <c r="G10" s="40">
        <v>45990</v>
      </c>
      <c r="H10" s="45"/>
      <c r="I10" s="2"/>
      <c r="J10" s="8"/>
      <c r="K10" s="3" t="s">
        <v>21</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80" t="s">
        <v>93</v>
      </c>
      <c r="D11" s="3" t="s">
        <v>21</v>
      </c>
      <c r="E11" s="4" t="s">
        <v>101</v>
      </c>
      <c r="F11" s="40">
        <v>45972</v>
      </c>
      <c r="G11" s="40">
        <v>45982</v>
      </c>
      <c r="H11" s="45"/>
      <c r="I11" s="2"/>
      <c r="J11" s="8"/>
      <c r="K11" s="12" t="s">
        <v>17</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t="s">
        <v>94</v>
      </c>
      <c r="D12" s="3" t="s">
        <v>21</v>
      </c>
      <c r="E12" s="4" t="s">
        <v>98</v>
      </c>
      <c r="F12" s="40">
        <v>45983</v>
      </c>
      <c r="G12" s="40">
        <v>45992</v>
      </c>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t="s">
        <v>95</v>
      </c>
      <c r="D13" s="3" t="s">
        <v>21</v>
      </c>
      <c r="E13" s="4" t="s">
        <v>97</v>
      </c>
      <c r="F13" s="40">
        <v>45983</v>
      </c>
      <c r="G13" s="40">
        <v>45990</v>
      </c>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t="s">
        <v>96</v>
      </c>
      <c r="D14" s="3" t="s">
        <v>21</v>
      </c>
      <c r="E14" s="81" t="s">
        <v>99</v>
      </c>
      <c r="F14" s="40">
        <v>45981</v>
      </c>
      <c r="G14" s="40">
        <v>45992</v>
      </c>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22</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23</v>
      </c>
      <c r="D20" s="3" t="s">
        <v>15</v>
      </c>
      <c r="E20" s="13"/>
      <c r="F20" s="40">
        <v>45983</v>
      </c>
      <c r="G20" s="40">
        <v>45999</v>
      </c>
      <c r="H20" s="45">
        <f t="shared" ref="H20:H65"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24</v>
      </c>
      <c r="D21" s="15" t="s">
        <v>15</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25</v>
      </c>
      <c r="D22" s="57"/>
      <c r="E22" s="58"/>
      <c r="F22" s="59">
        <f>MIN(F23:F35)</f>
        <v>45981</v>
      </c>
      <c r="G22" s="60">
        <f>MAX(G23:G35)</f>
        <v>45999</v>
      </c>
      <c r="H22" s="76">
        <f t="shared" si="1"/>
        <v>19</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30" outlineLevel="1" x14ac:dyDescent="0.15">
      <c r="A23" s="8"/>
      <c r="B23" s="2"/>
      <c r="C23" s="14" t="s">
        <v>26</v>
      </c>
      <c r="D23" s="3" t="s">
        <v>21</v>
      </c>
      <c r="E23" s="13" t="s">
        <v>27</v>
      </c>
      <c r="F23" s="40">
        <v>45981</v>
      </c>
      <c r="G23" s="40">
        <v>45981</v>
      </c>
      <c r="H23" s="46">
        <f t="shared" si="1"/>
        <v>1</v>
      </c>
      <c r="I23" s="78" t="s">
        <v>19</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t="s">
        <v>28</v>
      </c>
      <c r="D24" s="3" t="s">
        <v>21</v>
      </c>
      <c r="E24" s="13" t="s">
        <v>29</v>
      </c>
      <c r="F24" s="40">
        <v>45982</v>
      </c>
      <c r="G24" s="40">
        <v>45982</v>
      </c>
      <c r="H24" s="46">
        <f t="shared" si="1"/>
        <v>1</v>
      </c>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t="s">
        <v>30</v>
      </c>
      <c r="D25" s="3" t="s">
        <v>21</v>
      </c>
      <c r="E25" s="13" t="s">
        <v>31</v>
      </c>
      <c r="F25" s="40">
        <v>45984</v>
      </c>
      <c r="G25" s="40">
        <v>45984</v>
      </c>
      <c r="H25" s="46">
        <v>1</v>
      </c>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t="s">
        <v>32</v>
      </c>
      <c r="D26" s="3" t="s">
        <v>21</v>
      </c>
      <c r="E26" s="13" t="s">
        <v>33</v>
      </c>
      <c r="F26" s="40">
        <v>45992</v>
      </c>
      <c r="G26" s="40">
        <v>45992</v>
      </c>
      <c r="H26" s="46">
        <v>1</v>
      </c>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t="s">
        <v>34</v>
      </c>
      <c r="D27" s="3" t="s">
        <v>21</v>
      </c>
      <c r="E27" s="13" t="s">
        <v>35</v>
      </c>
      <c r="F27" s="40">
        <v>45992</v>
      </c>
      <c r="G27" s="40">
        <v>45992</v>
      </c>
      <c r="H27" s="46">
        <v>1</v>
      </c>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t="s">
        <v>36</v>
      </c>
      <c r="D28" s="3" t="s">
        <v>21</v>
      </c>
      <c r="E28" s="13" t="s">
        <v>37</v>
      </c>
      <c r="F28" s="40">
        <v>45992</v>
      </c>
      <c r="G28" s="40">
        <v>45992</v>
      </c>
      <c r="H28" s="46">
        <v>1</v>
      </c>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t="s">
        <v>38</v>
      </c>
      <c r="D29" s="3" t="s">
        <v>21</v>
      </c>
      <c r="E29" s="13" t="s">
        <v>39</v>
      </c>
      <c r="F29" s="40">
        <v>45992</v>
      </c>
      <c r="G29" s="40">
        <v>45992</v>
      </c>
      <c r="H29" s="46">
        <v>1</v>
      </c>
      <c r="I29" s="2" t="s">
        <v>40</v>
      </c>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t="s">
        <v>41</v>
      </c>
      <c r="D30" s="3" t="s">
        <v>21</v>
      </c>
      <c r="E30" s="13" t="s">
        <v>42</v>
      </c>
      <c r="F30" s="40">
        <v>45992</v>
      </c>
      <c r="G30" s="40">
        <v>45992</v>
      </c>
      <c r="H30" s="46">
        <v>1</v>
      </c>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43</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23</v>
      </c>
      <c r="D34" s="3" t="s">
        <v>21</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24</v>
      </c>
      <c r="D35" s="15" t="s">
        <v>21</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44</v>
      </c>
      <c r="D36" s="49"/>
      <c r="E36" s="50"/>
      <c r="F36" s="51">
        <f>MIN(F37:F64)</f>
        <v>45973</v>
      </c>
      <c r="G36" s="52">
        <f>MAX(G37:G64)</f>
        <v>45999</v>
      </c>
      <c r="H36" s="75">
        <f t="shared" si="1"/>
        <v>27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45" outlineLevel="1" x14ac:dyDescent="0.15">
      <c r="A37" s="8"/>
      <c r="B37" s="2"/>
      <c r="C37" s="14" t="s">
        <v>45</v>
      </c>
      <c r="D37" s="3" t="s">
        <v>21</v>
      </c>
      <c r="E37" s="12" t="s">
        <v>46</v>
      </c>
      <c r="F37" s="40">
        <v>45973</v>
      </c>
      <c r="G37" s="41">
        <v>45975</v>
      </c>
      <c r="H37" s="77">
        <f t="shared" si="1"/>
        <v>3</v>
      </c>
      <c r="I37" s="78" t="s">
        <v>19</v>
      </c>
      <c r="J37" s="8"/>
      <c r="K37" s="79" t="s">
        <v>47</v>
      </c>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t="s">
        <v>48</v>
      </c>
      <c r="D38" s="3" t="s">
        <v>21</v>
      </c>
      <c r="E38" s="12" t="s">
        <v>49</v>
      </c>
      <c r="F38" s="40">
        <v>45984</v>
      </c>
      <c r="G38" s="40">
        <v>45987</v>
      </c>
      <c r="H38" s="77">
        <v>3</v>
      </c>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t="s">
        <v>50</v>
      </c>
      <c r="D39" s="3" t="s">
        <v>21</v>
      </c>
      <c r="E39" s="12" t="s">
        <v>49</v>
      </c>
      <c r="F39" s="40">
        <v>45984</v>
      </c>
      <c r="G39" s="40">
        <v>45987</v>
      </c>
      <c r="H39" s="77">
        <v>3</v>
      </c>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t="s">
        <v>51</v>
      </c>
      <c r="D40" s="3" t="s">
        <v>21</v>
      </c>
      <c r="E40" s="12" t="s">
        <v>49</v>
      </c>
      <c r="F40" s="40">
        <v>45984</v>
      </c>
      <c r="G40" s="40">
        <v>45987</v>
      </c>
      <c r="H40" s="77">
        <v>3</v>
      </c>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t="s">
        <v>52</v>
      </c>
      <c r="D41" s="3" t="s">
        <v>21</v>
      </c>
      <c r="E41" s="12" t="s">
        <v>49</v>
      </c>
      <c r="F41" s="40">
        <v>45984</v>
      </c>
      <c r="G41" s="40">
        <v>45987</v>
      </c>
      <c r="H41" s="77">
        <v>3</v>
      </c>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t="s">
        <v>53</v>
      </c>
      <c r="D42" s="3" t="s">
        <v>21</v>
      </c>
      <c r="E42" s="12" t="s">
        <v>49</v>
      </c>
      <c r="F42" s="40">
        <v>45984</v>
      </c>
      <c r="G42" s="40">
        <v>45987</v>
      </c>
      <c r="H42" s="77">
        <v>3</v>
      </c>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t="s">
        <v>54</v>
      </c>
      <c r="D43" s="3" t="s">
        <v>21</v>
      </c>
      <c r="E43" s="12" t="s">
        <v>49</v>
      </c>
      <c r="F43" s="40">
        <v>45984</v>
      </c>
      <c r="G43" s="40">
        <v>45987</v>
      </c>
      <c r="H43" s="77">
        <v>3</v>
      </c>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t="s">
        <v>55</v>
      </c>
      <c r="D44" s="3" t="s">
        <v>21</v>
      </c>
      <c r="E44" s="12" t="s">
        <v>49</v>
      </c>
      <c r="F44" s="40">
        <v>45984</v>
      </c>
      <c r="G44" s="40">
        <v>45987</v>
      </c>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t="s">
        <v>56</v>
      </c>
      <c r="D45" s="3" t="s">
        <v>21</v>
      </c>
      <c r="E45" s="12" t="s">
        <v>49</v>
      </c>
      <c r="F45" s="40">
        <v>45984</v>
      </c>
      <c r="G45" s="40">
        <v>45987</v>
      </c>
      <c r="H45" s="77">
        <v>3</v>
      </c>
      <c r="I45" s="2"/>
      <c r="J45" s="8"/>
      <c r="K45" s="1"/>
      <c r="L45" s="8"/>
      <c r="M45" s="8"/>
      <c r="N45" s="8"/>
      <c r="O45" s="8"/>
      <c r="P45" s="8"/>
      <c r="Q45" s="8"/>
      <c r="R45" s="8"/>
      <c r="S45" s="8"/>
      <c r="T45" s="8"/>
      <c r="U45" s="8"/>
      <c r="V45" s="8"/>
      <c r="W45" s="8" t="s">
        <v>57</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t="s">
        <v>58</v>
      </c>
      <c r="D46" s="3" t="s">
        <v>21</v>
      </c>
      <c r="E46" s="12" t="s">
        <v>59</v>
      </c>
      <c r="F46" s="40">
        <v>45984</v>
      </c>
      <c r="G46" s="40">
        <v>45987</v>
      </c>
      <c r="H46" s="77">
        <v>3</v>
      </c>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t="s">
        <v>60</v>
      </c>
      <c r="D47" s="3" t="s">
        <v>21</v>
      </c>
      <c r="E47" s="12" t="s">
        <v>61</v>
      </c>
      <c r="F47" s="40">
        <v>45990</v>
      </c>
      <c r="G47" s="40">
        <v>45990</v>
      </c>
      <c r="H47" s="77">
        <v>1</v>
      </c>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62</v>
      </c>
      <c r="D48" s="3" t="s">
        <v>21</v>
      </c>
      <c r="E48" s="12" t="s">
        <v>63</v>
      </c>
      <c r="F48" s="40">
        <v>45990</v>
      </c>
      <c r="G48" s="40">
        <v>45990</v>
      </c>
      <c r="H48" s="77">
        <v>1</v>
      </c>
      <c r="I48" s="2"/>
      <c r="J48" s="8"/>
      <c r="K48" s="54"/>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x14ac:dyDescent="0.15">
      <c r="A49" s="8"/>
      <c r="B49" s="2"/>
      <c r="C49" s="14" t="s">
        <v>64</v>
      </c>
      <c r="D49" s="3" t="s">
        <v>21</v>
      </c>
      <c r="E49" s="12" t="s">
        <v>63</v>
      </c>
      <c r="F49" s="40">
        <v>45990</v>
      </c>
      <c r="G49" s="40">
        <v>45990</v>
      </c>
      <c r="H49" s="77">
        <v>1</v>
      </c>
      <c r="I49" s="2"/>
      <c r="J49" s="8"/>
      <c r="K49" s="54"/>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9" customFormat="1" ht="25" customHeight="1" outlineLevel="1" x14ac:dyDescent="0.15">
      <c r="A50" s="8"/>
      <c r="B50" s="2"/>
      <c r="C50" s="14" t="s">
        <v>65</v>
      </c>
      <c r="D50" s="3" t="s">
        <v>21</v>
      </c>
      <c r="E50" s="12" t="s">
        <v>66</v>
      </c>
      <c r="F50" s="40">
        <v>45990</v>
      </c>
      <c r="G50" s="40">
        <v>45990</v>
      </c>
      <c r="H50" s="77">
        <v>1</v>
      </c>
      <c r="I50" s="2"/>
      <c r="J50" s="8"/>
      <c r="K50" s="54"/>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row>
    <row r="51" spans="1:258" s="9" customFormat="1" ht="25" customHeight="1" outlineLevel="1" x14ac:dyDescent="0.15">
      <c r="A51" s="8"/>
      <c r="B51" s="2"/>
      <c r="C51" s="14" t="s">
        <v>67</v>
      </c>
      <c r="D51" s="3" t="s">
        <v>21</v>
      </c>
      <c r="E51" s="12" t="s">
        <v>66</v>
      </c>
      <c r="F51" s="40">
        <v>45990</v>
      </c>
      <c r="G51" s="40">
        <v>45990</v>
      </c>
      <c r="H51" s="77">
        <v>1</v>
      </c>
      <c r="I51" s="2"/>
      <c r="J51" s="8"/>
      <c r="K51" s="54"/>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t="s">
        <v>68</v>
      </c>
      <c r="D52" s="3" t="s">
        <v>21</v>
      </c>
      <c r="E52" s="12" t="s">
        <v>69</v>
      </c>
      <c r="F52" s="40">
        <v>45990</v>
      </c>
      <c r="G52" s="40">
        <v>45990</v>
      </c>
      <c r="H52" s="77">
        <v>1</v>
      </c>
      <c r="I52" s="2"/>
      <c r="J52" s="8"/>
      <c r="K52" s="54"/>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t="s">
        <v>70</v>
      </c>
      <c r="D53" s="3" t="s">
        <v>21</v>
      </c>
      <c r="E53" s="12" t="s">
        <v>71</v>
      </c>
      <c r="F53" s="40">
        <v>45990</v>
      </c>
      <c r="G53" s="40">
        <v>45991</v>
      </c>
      <c r="H53" s="77">
        <v>2</v>
      </c>
      <c r="I53" s="2"/>
      <c r="J53" s="8"/>
      <c r="K53" s="54"/>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t="s">
        <v>72</v>
      </c>
      <c r="D54" s="3" t="s">
        <v>21</v>
      </c>
      <c r="E54" s="12" t="s">
        <v>73</v>
      </c>
      <c r="F54" s="40">
        <v>45990</v>
      </c>
      <c r="G54" s="40">
        <v>45991</v>
      </c>
      <c r="H54" s="77">
        <v>2</v>
      </c>
      <c r="I54" s="2"/>
      <c r="J54" s="8"/>
      <c r="K54" s="54"/>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t="s">
        <v>74</v>
      </c>
      <c r="D55" s="3" t="s">
        <v>21</v>
      </c>
      <c r="E55" s="12" t="s">
        <v>75</v>
      </c>
      <c r="F55" s="40">
        <v>45990</v>
      </c>
      <c r="G55" s="40">
        <v>45991</v>
      </c>
      <c r="H55" s="77">
        <v>2</v>
      </c>
      <c r="I55" s="2"/>
      <c r="J55" s="8"/>
      <c r="K55" s="54"/>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t="s">
        <v>76</v>
      </c>
      <c r="D56" s="3" t="s">
        <v>21</v>
      </c>
      <c r="E56" s="12" t="s">
        <v>77</v>
      </c>
      <c r="F56" s="40">
        <v>45990</v>
      </c>
      <c r="G56" s="40">
        <v>45991</v>
      </c>
      <c r="H56" s="77">
        <v>2</v>
      </c>
      <c r="I56" s="2"/>
      <c r="J56" s="8"/>
      <c r="K56" s="54"/>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t="s">
        <v>78</v>
      </c>
      <c r="D57" s="3" t="s">
        <v>21</v>
      </c>
      <c r="E57" s="12" t="s">
        <v>77</v>
      </c>
      <c r="F57" s="40">
        <v>45990</v>
      </c>
      <c r="G57" s="40">
        <v>45991</v>
      </c>
      <c r="H57" s="77">
        <v>2</v>
      </c>
      <c r="I57" s="2"/>
      <c r="J57" s="8"/>
      <c r="K57" s="54"/>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t="s">
        <v>79</v>
      </c>
      <c r="D58" s="3" t="s">
        <v>21</v>
      </c>
      <c r="E58" s="12" t="s">
        <v>80</v>
      </c>
      <c r="F58" s="40">
        <v>45990</v>
      </c>
      <c r="G58" s="40">
        <v>45991</v>
      </c>
      <c r="H58" s="77">
        <v>2</v>
      </c>
      <c r="I58" s="2"/>
      <c r="J58" s="8"/>
      <c r="K58" s="54"/>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t="s">
        <v>81</v>
      </c>
      <c r="D59" s="3" t="s">
        <v>21</v>
      </c>
      <c r="E59" s="12" t="s">
        <v>82</v>
      </c>
      <c r="F59" s="40">
        <v>45990</v>
      </c>
      <c r="G59" s="40">
        <v>45991</v>
      </c>
      <c r="H59" s="77">
        <v>2</v>
      </c>
      <c r="I59" s="2"/>
      <c r="J59" s="8"/>
      <c r="K59" s="54"/>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t="s">
        <v>83</v>
      </c>
      <c r="D60" s="3" t="s">
        <v>21</v>
      </c>
      <c r="E60" s="12" t="s">
        <v>84</v>
      </c>
      <c r="F60" s="40">
        <v>45990</v>
      </c>
      <c r="G60" s="40">
        <v>45991</v>
      </c>
      <c r="H60" s="77">
        <v>2</v>
      </c>
      <c r="I60" s="2"/>
      <c r="J60" s="8"/>
      <c r="K60" s="54"/>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t="s">
        <v>85</v>
      </c>
      <c r="D61" s="3" t="s">
        <v>21</v>
      </c>
      <c r="E61" s="12" t="s">
        <v>86</v>
      </c>
      <c r="F61" s="40">
        <v>45990</v>
      </c>
      <c r="G61" s="40">
        <v>45991</v>
      </c>
      <c r="H61" s="77">
        <v>2</v>
      </c>
      <c r="I61" s="2"/>
      <c r="J61" s="8"/>
      <c r="K61" s="54"/>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87</v>
      </c>
      <c r="D62" s="3" t="s">
        <v>21</v>
      </c>
      <c r="E62" s="12" t="s">
        <v>88</v>
      </c>
      <c r="F62" s="40">
        <v>45990</v>
      </c>
      <c r="G62" s="40">
        <v>45991</v>
      </c>
      <c r="H62" s="77">
        <v>2</v>
      </c>
      <c r="I62" s="2"/>
      <c r="J62" s="8"/>
      <c r="K62" s="54"/>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x14ac:dyDescent="0.15">
      <c r="A63" s="8"/>
      <c r="B63" s="2"/>
      <c r="C63" s="14" t="s">
        <v>23</v>
      </c>
      <c r="D63" s="3" t="s">
        <v>15</v>
      </c>
      <c r="E63" s="13"/>
      <c r="F63" s="40">
        <v>45983</v>
      </c>
      <c r="G63" s="40">
        <v>45999</v>
      </c>
      <c r="H63" s="77"/>
      <c r="I63" s="2"/>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s="9" customFormat="1" ht="25" customHeight="1" outlineLevel="1" thickBot="1" x14ac:dyDescent="0.2">
      <c r="A64" s="8"/>
      <c r="B64" s="16"/>
      <c r="C64" s="14" t="s">
        <v>24</v>
      </c>
      <c r="D64" s="15" t="s">
        <v>15</v>
      </c>
      <c r="E64" s="17"/>
      <c r="F64" s="42">
        <v>45992</v>
      </c>
      <c r="G64" s="43">
        <v>45992</v>
      </c>
      <c r="H64" s="77">
        <f t="shared" si="1"/>
        <v>1</v>
      </c>
      <c r="I64" s="16"/>
      <c r="J64" s="8"/>
      <c r="K64" s="1"/>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row>
    <row r="65" spans="1:258" s="55" customFormat="1" ht="25" customHeight="1" x14ac:dyDescent="0.15">
      <c r="A65" s="47"/>
      <c r="B65" s="68"/>
      <c r="C65" s="68" t="s">
        <v>89</v>
      </c>
      <c r="D65" s="69"/>
      <c r="E65" s="70"/>
      <c r="F65" s="71">
        <f>MIN(F66:F78)</f>
        <v>0</v>
      </c>
      <c r="G65" s="72">
        <f>MAX(G66:G78)</f>
        <v>0</v>
      </c>
      <c r="H65" s="74">
        <f t="shared" si="1"/>
        <v>0</v>
      </c>
      <c r="I65" s="73"/>
      <c r="J65" s="47"/>
      <c r="K65" s="1"/>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BM65" s="47"/>
      <c r="BN65" s="47"/>
      <c r="BO65" s="47"/>
      <c r="BP65" s="47"/>
      <c r="BQ65" s="47"/>
      <c r="BR65" s="47"/>
      <c r="BS65" s="47"/>
      <c r="BT65" s="47"/>
      <c r="BU65" s="47"/>
      <c r="BV65" s="47"/>
      <c r="BW65" s="47"/>
      <c r="BX65" s="47"/>
      <c r="BY65" s="47"/>
      <c r="BZ65" s="47"/>
      <c r="CA65" s="47"/>
      <c r="CB65" s="47"/>
      <c r="CC65" s="47"/>
      <c r="CD65" s="47"/>
      <c r="CE65" s="47"/>
      <c r="CF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EI65" s="47"/>
      <c r="EJ65" s="47"/>
      <c r="EK65" s="47"/>
      <c r="EL65" s="47"/>
      <c r="EM65" s="47"/>
      <c r="EN65" s="47"/>
      <c r="EO65" s="47"/>
      <c r="EP65" s="47"/>
      <c r="EQ65" s="47"/>
      <c r="ER65" s="47"/>
      <c r="ES65" s="47"/>
      <c r="ET65" s="47"/>
      <c r="EU65" s="47"/>
      <c r="EV65" s="47"/>
      <c r="EW65" s="47"/>
      <c r="EX65" s="47"/>
      <c r="EY65" s="47"/>
      <c r="EZ65" s="47"/>
      <c r="FA65" s="47"/>
      <c r="FB65" s="47"/>
      <c r="FC65" s="47"/>
      <c r="FD65" s="47"/>
      <c r="FE65" s="47"/>
      <c r="FF65" s="47"/>
      <c r="FG65" s="47"/>
      <c r="FH65" s="47"/>
      <c r="FI65" s="47"/>
      <c r="FJ65" s="47"/>
      <c r="FK65" s="47"/>
      <c r="FL65" s="47"/>
      <c r="FM65" s="47"/>
      <c r="FN65" s="47"/>
      <c r="FO65" s="47"/>
      <c r="FP65" s="47"/>
      <c r="FQ65" s="47"/>
      <c r="FR65" s="47"/>
      <c r="FS65" s="47"/>
      <c r="FT65" s="47"/>
      <c r="FU65" s="47"/>
      <c r="FV65" s="47"/>
      <c r="FW65" s="47"/>
      <c r="FX65" s="47"/>
      <c r="FY65" s="47"/>
      <c r="FZ65" s="47"/>
      <c r="GA65" s="47"/>
      <c r="GB65" s="47"/>
      <c r="GC65" s="47"/>
      <c r="GD65" s="47"/>
      <c r="GE65" s="47"/>
      <c r="GF65" s="47"/>
      <c r="GG65" s="47"/>
      <c r="GH65" s="47"/>
      <c r="GI65" s="47"/>
      <c r="GJ65" s="47"/>
      <c r="GK65" s="47"/>
      <c r="GL65" s="47"/>
      <c r="GM65" s="47"/>
      <c r="GN65" s="47"/>
      <c r="GO65" s="47"/>
      <c r="GP65" s="47"/>
      <c r="GQ65" s="47"/>
      <c r="GR65" s="47"/>
      <c r="GS65" s="47"/>
      <c r="GT65" s="47"/>
      <c r="GU65" s="47"/>
      <c r="GV65" s="47"/>
      <c r="GW65" s="47"/>
      <c r="GX65" s="47"/>
      <c r="GY65" s="47"/>
      <c r="GZ65" s="47"/>
      <c r="HA65" s="47"/>
      <c r="HB65" s="47"/>
      <c r="HC65" s="47"/>
      <c r="HD65" s="47"/>
      <c r="HE65" s="47"/>
      <c r="HF65" s="47"/>
      <c r="HG65" s="47"/>
      <c r="HH65" s="47"/>
      <c r="HI65" s="47"/>
      <c r="HJ65" s="47"/>
      <c r="HK65" s="47"/>
      <c r="HL65" s="47"/>
      <c r="HM65" s="47"/>
      <c r="HN65" s="47"/>
      <c r="HO65" s="47"/>
      <c r="HP65" s="47"/>
      <c r="HQ65" s="47"/>
      <c r="HR65" s="47"/>
      <c r="HS65" s="47"/>
      <c r="HT65" s="47"/>
      <c r="HU65" s="47"/>
      <c r="HV65" s="47"/>
      <c r="HW65" s="47"/>
      <c r="HX65" s="47"/>
      <c r="HY65" s="47"/>
      <c r="HZ65" s="47"/>
      <c r="IA65" s="47"/>
      <c r="IB65" s="47"/>
      <c r="IC65" s="47"/>
      <c r="ID65" s="47"/>
      <c r="IE65" s="47"/>
      <c r="IF65" s="47"/>
      <c r="IG65" s="47"/>
      <c r="IH65" s="47"/>
      <c r="II65" s="47"/>
      <c r="IJ65" s="47"/>
      <c r="IK65" s="47"/>
      <c r="IL65" s="47"/>
      <c r="IM65" s="47"/>
      <c r="IN65" s="47"/>
      <c r="IO65" s="47"/>
      <c r="IP65" s="47"/>
      <c r="IQ65" s="47"/>
      <c r="IR65" s="47"/>
      <c r="IS65" s="47"/>
      <c r="IT65" s="47"/>
      <c r="IU65" s="47"/>
      <c r="IV65" s="47"/>
      <c r="IW65" s="47"/>
      <c r="IX65" s="47"/>
    </row>
    <row r="66" spans="1:258" s="9" customFormat="1" ht="14" outlineLevel="1" x14ac:dyDescent="0.15">
      <c r="A66" s="8"/>
      <c r="B66" s="2"/>
      <c r="C66" s="14"/>
      <c r="D66" s="3"/>
      <c r="E66" s="13"/>
      <c r="F66" s="40"/>
      <c r="G66" s="40"/>
      <c r="H66" s="33"/>
      <c r="I66" s="2"/>
      <c r="J66" s="8"/>
      <c r="K66" s="1"/>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row>
    <row r="67" spans="1:258" s="9" customFormat="1" ht="25" customHeight="1" outlineLevel="1" x14ac:dyDescent="0.15">
      <c r="A67" s="8"/>
      <c r="B67" s="2"/>
      <c r="C67" s="14"/>
      <c r="D67" s="3"/>
      <c r="E67" s="13"/>
      <c r="F67" s="40"/>
      <c r="G67" s="40"/>
      <c r="H67" s="33"/>
      <c r="I67" s="2"/>
      <c r="J67" s="8"/>
      <c r="K67" s="1"/>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row>
    <row r="68" spans="1:258" s="9" customFormat="1" ht="25" customHeight="1" outlineLevel="1" x14ac:dyDescent="0.15">
      <c r="A68" s="8"/>
      <c r="B68" s="2"/>
      <c r="C68" s="14"/>
      <c r="D68" s="3"/>
      <c r="E68" s="13"/>
      <c r="F68" s="40"/>
      <c r="G68" s="40"/>
      <c r="H68" s="33"/>
      <c r="I68" s="2"/>
      <c r="J68" s="8"/>
      <c r="K68" s="1"/>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row>
    <row r="69" spans="1:258" s="9" customFormat="1" ht="25" customHeight="1" outlineLevel="1" x14ac:dyDescent="0.15">
      <c r="A69" s="8"/>
      <c r="B69" s="2"/>
      <c r="C69" s="14"/>
      <c r="D69" s="3"/>
      <c r="E69" s="13"/>
      <c r="F69" s="40"/>
      <c r="G69" s="40"/>
      <c r="H69" s="33"/>
      <c r="I69" s="2"/>
      <c r="J69" s="8"/>
      <c r="K69" s="1"/>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row>
    <row r="70" spans="1:258" s="9" customFormat="1" ht="25" customHeight="1" outlineLevel="1" x14ac:dyDescent="0.15">
      <c r="A70" s="8"/>
      <c r="B70" s="2"/>
      <c r="C70" s="14"/>
      <c r="D70" s="3"/>
      <c r="E70" s="13"/>
      <c r="F70" s="40"/>
      <c r="G70" s="40"/>
      <c r="H70" s="33"/>
      <c r="I70" s="2"/>
      <c r="J70" s="8"/>
      <c r="K70" s="1"/>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row>
    <row r="71" spans="1:258" s="9" customFormat="1" ht="25" customHeight="1" outlineLevel="1" x14ac:dyDescent="0.15">
      <c r="A71" s="8"/>
      <c r="B71" s="2"/>
      <c r="C71" s="14"/>
      <c r="D71" s="3"/>
      <c r="E71" s="13"/>
      <c r="F71" s="40"/>
      <c r="G71" s="40"/>
      <c r="H71" s="33"/>
      <c r="I71" s="2"/>
      <c r="J71" s="8"/>
      <c r="K71" s="1"/>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row>
    <row r="72" spans="1:258" s="9" customFormat="1" ht="25" customHeight="1" outlineLevel="1" x14ac:dyDescent="0.15">
      <c r="A72" s="8"/>
      <c r="B72" s="2"/>
      <c r="C72" s="14"/>
      <c r="D72" s="3"/>
      <c r="E72" s="13"/>
      <c r="F72" s="40"/>
      <c r="G72" s="40"/>
      <c r="H72" s="33"/>
      <c r="I72" s="2"/>
      <c r="J72" s="8"/>
      <c r="K72" s="1"/>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row>
    <row r="73" spans="1:258" s="9" customFormat="1" ht="25" customHeight="1" outlineLevel="1" x14ac:dyDescent="0.15">
      <c r="A73" s="8"/>
      <c r="B73" s="2"/>
      <c r="C73" s="14"/>
      <c r="D73" s="3"/>
      <c r="E73" s="13"/>
      <c r="F73" s="40"/>
      <c r="G73" s="40"/>
      <c r="H73" s="33"/>
      <c r="I73" s="2"/>
      <c r="J73" s="8"/>
      <c r="K73" s="1"/>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row>
    <row r="74" spans="1:258" s="9" customFormat="1" ht="25" customHeight="1" outlineLevel="1" x14ac:dyDescent="0.15">
      <c r="A74" s="8"/>
      <c r="B74" s="2"/>
      <c r="C74" s="14"/>
      <c r="D74" s="3"/>
      <c r="E74" s="13"/>
      <c r="F74" s="40"/>
      <c r="G74" s="40"/>
      <c r="H74" s="33"/>
      <c r="I74" s="2"/>
      <c r="J74" s="8"/>
      <c r="K74" s="1"/>
      <c r="L74" s="8"/>
      <c r="M74" s="8"/>
      <c r="N74" s="8"/>
      <c r="O74" s="8"/>
      <c r="P74" s="8"/>
      <c r="Q74" s="8"/>
      <c r="R74" s="8"/>
      <c r="S74" s="8"/>
      <c r="T74" s="8"/>
      <c r="U74" s="8"/>
      <c r="V74" s="8"/>
      <c r="W74" s="44"/>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row>
    <row r="75" spans="1:258" s="9" customFormat="1" ht="25" customHeight="1" outlineLevel="1" x14ac:dyDescent="0.15">
      <c r="A75" s="8"/>
      <c r="B75" s="2"/>
      <c r="C75" s="14"/>
      <c r="D75" s="3"/>
      <c r="E75" s="13"/>
      <c r="F75" s="40"/>
      <c r="G75" s="40"/>
      <c r="H75" s="33"/>
      <c r="I75" s="2"/>
      <c r="J75" s="8"/>
      <c r="K75" s="1"/>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row>
    <row r="76" spans="1:258" s="9" customFormat="1" ht="25" customHeight="1" outlineLevel="1" x14ac:dyDescent="0.15">
      <c r="A76" s="8"/>
      <c r="B76" s="2"/>
      <c r="C76" s="14"/>
      <c r="D76" s="3"/>
      <c r="E76" s="13"/>
      <c r="F76" s="40"/>
      <c r="G76" s="40"/>
      <c r="H76" s="33"/>
      <c r="I76" s="2"/>
      <c r="J76" s="8"/>
      <c r="K76" s="1"/>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8"/>
      <c r="HO76" s="8"/>
      <c r="HP76" s="8"/>
      <c r="HQ76" s="8"/>
      <c r="HR76" s="8"/>
      <c r="HS76" s="8"/>
      <c r="HT76" s="8"/>
      <c r="HU76" s="8"/>
      <c r="HV76" s="8"/>
      <c r="HW76" s="8"/>
      <c r="HX76" s="8"/>
      <c r="HY76" s="8"/>
      <c r="HZ76" s="8"/>
      <c r="IA76" s="8"/>
      <c r="IB76" s="8"/>
      <c r="IC76" s="8"/>
      <c r="ID76" s="8"/>
      <c r="IE76" s="8"/>
      <c r="IF76" s="8"/>
      <c r="IG76" s="8"/>
      <c r="IH76" s="8"/>
      <c r="II76" s="8"/>
      <c r="IJ76" s="8"/>
      <c r="IK76" s="8"/>
      <c r="IL76" s="8"/>
      <c r="IM76" s="8"/>
      <c r="IN76" s="8"/>
      <c r="IO76" s="8"/>
      <c r="IP76" s="8"/>
      <c r="IQ76" s="8"/>
      <c r="IR76" s="8"/>
      <c r="IS76" s="8"/>
      <c r="IT76" s="8"/>
      <c r="IU76" s="8"/>
      <c r="IV76" s="8"/>
      <c r="IW76" s="8"/>
      <c r="IX76" s="8"/>
    </row>
    <row r="77" spans="1:258" s="9" customFormat="1" ht="25" customHeight="1" outlineLevel="1" x14ac:dyDescent="0.15">
      <c r="A77" s="8"/>
      <c r="B77" s="2"/>
      <c r="C77" s="14"/>
      <c r="D77" s="3"/>
      <c r="E77" s="13"/>
      <c r="F77" s="40"/>
      <c r="G77" s="40"/>
      <c r="H77" s="33"/>
      <c r="I77" s="2"/>
      <c r="J77" s="8"/>
      <c r="K77" s="1"/>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row>
    <row r="78" spans="1:258" s="9" customFormat="1" ht="25" customHeight="1" outlineLevel="1" thickBot="1" x14ac:dyDescent="0.2">
      <c r="A78" s="8"/>
      <c r="B78" s="16"/>
      <c r="C78" s="14"/>
      <c r="D78" s="15"/>
      <c r="E78" s="17"/>
      <c r="F78" s="42"/>
      <c r="G78" s="43"/>
      <c r="H78" s="33"/>
      <c r="I78" s="16"/>
      <c r="J78" s="8"/>
      <c r="K78" s="1"/>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row>
    <row r="79" spans="1:258" ht="300" customHeight="1"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ht="300" customHeight="1"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58"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58"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58"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58"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row>
    <row r="421" spans="1:258"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row>
    <row r="422" spans="1:258"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row>
    <row r="423" spans="1:258"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row>
    <row r="424" spans="1:258"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row>
    <row r="425" spans="1:258"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row>
    <row r="426" spans="1:258"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row>
    <row r="427" spans="1:258"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row>
    <row r="428" spans="1:258"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row>
    <row r="429" spans="1:258"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row>
    <row r="430" spans="1:258"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row>
    <row r="431" spans="1:258"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row>
    <row r="432" spans="1:258"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row r="1110" spans="1:282" x14ac:dyDescent="0.15">
      <c r="A1110" s="1"/>
      <c r="B1110" s="1"/>
      <c r="C1110" s="1"/>
      <c r="D1110" s="1"/>
      <c r="E1110" s="1"/>
      <c r="F1110" s="36"/>
      <c r="G1110" s="36"/>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row>
    <row r="1111" spans="1:282" x14ac:dyDescent="0.15">
      <c r="A1111" s="1"/>
      <c r="B1111" s="1"/>
      <c r="C1111" s="1"/>
      <c r="D1111" s="1"/>
      <c r="E1111" s="1"/>
      <c r="F1111" s="36"/>
      <c r="G1111" s="36"/>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row>
    <row r="1112" spans="1:282" x14ac:dyDescent="0.15">
      <c r="A1112" s="1"/>
      <c r="B1112" s="1"/>
      <c r="C1112" s="1"/>
      <c r="D1112" s="1"/>
      <c r="E1112" s="1"/>
      <c r="F1112" s="36"/>
      <c r="G1112" s="36"/>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row>
    <row r="1113" spans="1:282" x14ac:dyDescent="0.15">
      <c r="A1113" s="1"/>
      <c r="B1113" s="1"/>
      <c r="C1113" s="1"/>
      <c r="D1113" s="1"/>
      <c r="E1113" s="1"/>
      <c r="F1113" s="36"/>
      <c r="G1113" s="36"/>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row>
    <row r="1114" spans="1:282" x14ac:dyDescent="0.15">
      <c r="A1114" s="1"/>
      <c r="B1114" s="1"/>
      <c r="C1114" s="1"/>
      <c r="D1114" s="1"/>
      <c r="E1114" s="1"/>
      <c r="F1114" s="36"/>
      <c r="G1114" s="36"/>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row>
    <row r="1115" spans="1:282" x14ac:dyDescent="0.15">
      <c r="A1115" s="1"/>
      <c r="B1115" s="1"/>
      <c r="C1115" s="1"/>
      <c r="D1115" s="1"/>
      <c r="E1115" s="1"/>
      <c r="F1115" s="36"/>
      <c r="G1115" s="36"/>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row>
    <row r="1116" spans="1:282" x14ac:dyDescent="0.15">
      <c r="A1116" s="1"/>
      <c r="B1116" s="1"/>
      <c r="C1116" s="1"/>
      <c r="D1116" s="1"/>
      <c r="E1116" s="1"/>
      <c r="F1116" s="36"/>
      <c r="G1116" s="36"/>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c r="JT1116" s="1"/>
      <c r="JU1116" s="1"/>
      <c r="JV1116" s="1"/>
    </row>
    <row r="1117" spans="1:282" x14ac:dyDescent="0.15">
      <c r="A1117" s="1"/>
      <c r="B1117" s="1"/>
      <c r="C1117" s="1"/>
      <c r="D1117" s="1"/>
      <c r="E1117" s="1"/>
      <c r="F1117" s="36"/>
      <c r="G1117" s="36"/>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row>
    <row r="1118" spans="1:282" x14ac:dyDescent="0.15">
      <c r="A1118" s="1"/>
      <c r="B1118" s="1"/>
      <c r="C1118" s="1"/>
      <c r="D1118" s="1"/>
      <c r="E1118" s="1"/>
      <c r="F1118" s="36"/>
      <c r="G1118" s="36"/>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row>
    <row r="1119" spans="1:282" x14ac:dyDescent="0.15">
      <c r="A1119" s="1"/>
      <c r="B1119" s="1"/>
      <c r="C1119" s="1"/>
      <c r="D1119" s="1"/>
      <c r="E1119" s="1"/>
      <c r="F1119" s="36"/>
      <c r="G1119" s="36"/>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c r="JT1119" s="1"/>
      <c r="JU1119" s="1"/>
      <c r="JV1119" s="1"/>
    </row>
    <row r="1120" spans="1:282" x14ac:dyDescent="0.15">
      <c r="A1120" s="1"/>
      <c r="B1120" s="1"/>
      <c r="C1120" s="1"/>
      <c r="D1120" s="1"/>
      <c r="E1120" s="1"/>
      <c r="F1120" s="36"/>
      <c r="G1120" s="36"/>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c r="DT1120" s="1"/>
      <c r="DU1120" s="1"/>
      <c r="DV1120" s="1"/>
      <c r="DW1120" s="1"/>
      <c r="DX1120" s="1"/>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1"/>
      <c r="EV1120" s="1"/>
      <c r="EW1120" s="1"/>
      <c r="EX1120" s="1"/>
      <c r="EY1120" s="1"/>
      <c r="EZ1120" s="1"/>
      <c r="FA1120" s="1"/>
      <c r="FB1120" s="1"/>
      <c r="FC1120" s="1"/>
      <c r="FD1120" s="1"/>
      <c r="FE1120" s="1"/>
      <c r="FF1120" s="1"/>
      <c r="FG1120" s="1"/>
      <c r="FH1120" s="1"/>
      <c r="FI1120" s="1"/>
      <c r="FJ1120" s="1"/>
      <c r="FK1120" s="1"/>
      <c r="FL1120" s="1"/>
      <c r="FM1120" s="1"/>
      <c r="FN1120" s="1"/>
      <c r="FO1120" s="1"/>
      <c r="FP1120" s="1"/>
      <c r="FQ1120" s="1"/>
      <c r="FR1120" s="1"/>
      <c r="FS1120" s="1"/>
      <c r="FT1120" s="1"/>
      <c r="FU1120" s="1"/>
      <c r="FV1120" s="1"/>
      <c r="FW1120" s="1"/>
      <c r="FX1120" s="1"/>
      <c r="FY1120" s="1"/>
      <c r="FZ1120" s="1"/>
      <c r="GA1120" s="1"/>
      <c r="GB1120" s="1"/>
      <c r="GC1120" s="1"/>
      <c r="GD1120" s="1"/>
      <c r="GE1120" s="1"/>
      <c r="GF1120" s="1"/>
      <c r="GG1120" s="1"/>
      <c r="GH1120" s="1"/>
      <c r="GI1120" s="1"/>
      <c r="GJ1120" s="1"/>
      <c r="GK1120" s="1"/>
      <c r="GL1120" s="1"/>
      <c r="GM1120" s="1"/>
      <c r="GN1120" s="1"/>
      <c r="GO1120" s="1"/>
      <c r="GP1120" s="1"/>
      <c r="GQ1120" s="1"/>
      <c r="GR1120" s="1"/>
      <c r="GS1120" s="1"/>
      <c r="GT1120" s="1"/>
      <c r="GU1120" s="1"/>
      <c r="GV1120" s="1"/>
      <c r="GW1120" s="1"/>
      <c r="GX1120" s="1"/>
      <c r="GY1120" s="1"/>
      <c r="GZ1120" s="1"/>
      <c r="HA1120" s="1"/>
      <c r="HB1120" s="1"/>
      <c r="HC1120" s="1"/>
      <c r="HD1120" s="1"/>
      <c r="HE1120" s="1"/>
      <c r="HF1120" s="1"/>
      <c r="HG1120" s="1"/>
      <c r="HH1120" s="1"/>
      <c r="HI1120" s="1"/>
      <c r="HJ1120" s="1"/>
      <c r="HK1120" s="1"/>
      <c r="HL1120" s="1"/>
      <c r="HM1120" s="1"/>
      <c r="HN1120" s="1"/>
      <c r="HO1120" s="1"/>
      <c r="HP1120" s="1"/>
      <c r="HQ1120" s="1"/>
      <c r="HR1120" s="1"/>
      <c r="HS1120" s="1"/>
      <c r="HT1120" s="1"/>
      <c r="HU1120" s="1"/>
      <c r="HV1120" s="1"/>
      <c r="HW1120" s="1"/>
      <c r="HX1120" s="1"/>
      <c r="HY1120" s="1"/>
      <c r="HZ1120" s="1"/>
      <c r="IA1120" s="1"/>
      <c r="IB1120" s="1"/>
      <c r="IC1120" s="1"/>
      <c r="ID1120" s="1"/>
      <c r="IE1120" s="1"/>
      <c r="IF1120" s="1"/>
      <c r="IG1120" s="1"/>
      <c r="IH1120" s="1"/>
      <c r="II1120" s="1"/>
      <c r="IJ1120" s="1"/>
      <c r="IK1120" s="1"/>
      <c r="IL1120" s="1"/>
      <c r="IM1120" s="1"/>
      <c r="IN1120" s="1"/>
      <c r="IO1120" s="1"/>
      <c r="IP1120" s="1"/>
      <c r="IQ1120" s="1"/>
      <c r="IR1120" s="1"/>
      <c r="IS1120" s="1"/>
      <c r="IT1120" s="1"/>
      <c r="IU1120" s="1"/>
      <c r="IV1120" s="1"/>
      <c r="IW1120" s="1"/>
      <c r="IX1120" s="1"/>
      <c r="IY1120" s="1"/>
      <c r="IZ1120" s="1"/>
      <c r="JA1120" s="1"/>
      <c r="JB1120" s="1"/>
      <c r="JC1120" s="1"/>
      <c r="JD1120" s="1"/>
      <c r="JE1120" s="1"/>
      <c r="JF1120" s="1"/>
      <c r="JG1120" s="1"/>
      <c r="JH1120" s="1"/>
      <c r="JI1120" s="1"/>
      <c r="JJ1120" s="1"/>
      <c r="JK1120" s="1"/>
      <c r="JL1120" s="1"/>
      <c r="JM1120" s="1"/>
      <c r="JN1120" s="1"/>
      <c r="JO1120" s="1"/>
      <c r="JP1120" s="1"/>
      <c r="JQ1120" s="1"/>
      <c r="JR1120" s="1"/>
      <c r="JS1120" s="1"/>
      <c r="JT1120" s="1"/>
      <c r="JU1120" s="1"/>
      <c r="JV1120" s="1"/>
    </row>
    <row r="1121" spans="1:282" x14ac:dyDescent="0.15">
      <c r="A1121" s="1"/>
      <c r="B1121" s="1"/>
      <c r="C1121" s="1"/>
      <c r="D1121" s="1"/>
      <c r="E1121" s="1"/>
      <c r="F1121" s="36"/>
      <c r="G1121" s="36"/>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c r="DT1121" s="1"/>
      <c r="DU1121" s="1"/>
      <c r="DV1121" s="1"/>
      <c r="DW1121" s="1"/>
      <c r="DX1121" s="1"/>
      <c r="DY1121" s="1"/>
      <c r="DZ1121" s="1"/>
      <c r="EA1121" s="1"/>
      <c r="EB1121" s="1"/>
      <c r="EC1121" s="1"/>
      <c r="ED1121" s="1"/>
      <c r="EE1121" s="1"/>
      <c r="EF1121" s="1"/>
      <c r="EG1121" s="1"/>
      <c r="EH1121" s="1"/>
      <c r="EI1121" s="1"/>
      <c r="EJ1121" s="1"/>
      <c r="EK1121" s="1"/>
      <c r="EL1121" s="1"/>
      <c r="EM1121" s="1"/>
      <c r="EN1121" s="1"/>
      <c r="EO1121" s="1"/>
      <c r="EP1121" s="1"/>
      <c r="EQ1121" s="1"/>
      <c r="ER1121" s="1"/>
      <c r="ES1121" s="1"/>
      <c r="ET1121" s="1"/>
      <c r="EU1121" s="1"/>
      <c r="EV1121" s="1"/>
      <c r="EW1121" s="1"/>
      <c r="EX1121" s="1"/>
      <c r="EY1121" s="1"/>
      <c r="EZ1121" s="1"/>
      <c r="FA1121" s="1"/>
      <c r="FB1121" s="1"/>
      <c r="FC1121" s="1"/>
      <c r="FD1121" s="1"/>
      <c r="FE1121" s="1"/>
      <c r="FF1121" s="1"/>
      <c r="FG1121" s="1"/>
      <c r="FH1121" s="1"/>
      <c r="FI1121" s="1"/>
      <c r="FJ1121" s="1"/>
      <c r="FK1121" s="1"/>
      <c r="FL1121" s="1"/>
      <c r="FM1121" s="1"/>
      <c r="FN1121" s="1"/>
      <c r="FO1121" s="1"/>
      <c r="FP1121" s="1"/>
      <c r="FQ1121" s="1"/>
      <c r="FR1121" s="1"/>
      <c r="FS1121" s="1"/>
      <c r="FT1121" s="1"/>
      <c r="FU1121" s="1"/>
      <c r="FV1121" s="1"/>
      <c r="FW1121" s="1"/>
      <c r="FX1121" s="1"/>
      <c r="FY1121" s="1"/>
      <c r="FZ1121" s="1"/>
      <c r="GA1121" s="1"/>
      <c r="GB1121" s="1"/>
      <c r="GC1121" s="1"/>
      <c r="GD1121" s="1"/>
      <c r="GE1121" s="1"/>
      <c r="GF1121" s="1"/>
      <c r="GG1121" s="1"/>
      <c r="GH1121" s="1"/>
      <c r="GI1121" s="1"/>
      <c r="GJ1121" s="1"/>
      <c r="GK1121" s="1"/>
      <c r="GL1121" s="1"/>
      <c r="GM1121" s="1"/>
      <c r="GN1121" s="1"/>
      <c r="GO1121" s="1"/>
      <c r="GP1121" s="1"/>
      <c r="GQ1121" s="1"/>
      <c r="GR1121" s="1"/>
      <c r="GS1121" s="1"/>
      <c r="GT1121" s="1"/>
      <c r="GU1121" s="1"/>
      <c r="GV1121" s="1"/>
      <c r="GW1121" s="1"/>
      <c r="GX1121" s="1"/>
      <c r="GY1121" s="1"/>
      <c r="GZ1121" s="1"/>
      <c r="HA1121" s="1"/>
      <c r="HB1121" s="1"/>
      <c r="HC1121" s="1"/>
      <c r="HD1121" s="1"/>
      <c r="HE1121" s="1"/>
      <c r="HF1121" s="1"/>
      <c r="HG1121" s="1"/>
      <c r="HH1121" s="1"/>
      <c r="HI1121" s="1"/>
      <c r="HJ1121" s="1"/>
      <c r="HK1121" s="1"/>
      <c r="HL1121" s="1"/>
      <c r="HM1121" s="1"/>
      <c r="HN1121" s="1"/>
      <c r="HO1121" s="1"/>
      <c r="HP1121" s="1"/>
      <c r="HQ1121" s="1"/>
      <c r="HR1121" s="1"/>
      <c r="HS1121" s="1"/>
      <c r="HT1121" s="1"/>
      <c r="HU1121" s="1"/>
      <c r="HV1121" s="1"/>
      <c r="HW1121" s="1"/>
      <c r="HX1121" s="1"/>
      <c r="HY1121" s="1"/>
      <c r="HZ1121" s="1"/>
      <c r="IA1121" s="1"/>
      <c r="IB1121" s="1"/>
      <c r="IC1121" s="1"/>
      <c r="ID1121" s="1"/>
      <c r="IE1121" s="1"/>
      <c r="IF1121" s="1"/>
      <c r="IG1121" s="1"/>
      <c r="IH1121" s="1"/>
      <c r="II1121" s="1"/>
      <c r="IJ1121" s="1"/>
      <c r="IK1121" s="1"/>
      <c r="IL1121" s="1"/>
      <c r="IM1121" s="1"/>
      <c r="IN1121" s="1"/>
      <c r="IO1121" s="1"/>
      <c r="IP1121" s="1"/>
      <c r="IQ1121" s="1"/>
      <c r="IR1121" s="1"/>
      <c r="IS1121" s="1"/>
      <c r="IT1121" s="1"/>
      <c r="IU1121" s="1"/>
      <c r="IV1121" s="1"/>
      <c r="IW1121" s="1"/>
      <c r="IX1121" s="1"/>
      <c r="IY1121" s="1"/>
      <c r="IZ1121" s="1"/>
      <c r="JA1121" s="1"/>
      <c r="JB1121" s="1"/>
      <c r="JC1121" s="1"/>
      <c r="JD1121" s="1"/>
      <c r="JE1121" s="1"/>
      <c r="JF1121" s="1"/>
      <c r="JG1121" s="1"/>
      <c r="JH1121" s="1"/>
      <c r="JI1121" s="1"/>
      <c r="JJ1121" s="1"/>
      <c r="JK1121" s="1"/>
      <c r="JL1121" s="1"/>
      <c r="JM1121" s="1"/>
      <c r="JN1121" s="1"/>
      <c r="JO1121" s="1"/>
      <c r="JP1121" s="1"/>
      <c r="JQ1121" s="1"/>
      <c r="JR1121" s="1"/>
      <c r="JS1121" s="1"/>
      <c r="JT1121" s="1"/>
      <c r="JU1121" s="1"/>
      <c r="JV1121" s="1"/>
    </row>
    <row r="1122" spans="1:282" x14ac:dyDescent="0.15">
      <c r="A1122" s="1"/>
      <c r="B1122" s="1"/>
      <c r="C1122" s="1"/>
      <c r="D1122" s="1"/>
      <c r="E1122" s="1"/>
      <c r="F1122" s="36"/>
      <c r="G1122" s="36"/>
      <c r="H1122" s="1"/>
      <c r="I1122" s="1"/>
      <c r="J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c r="DT1122" s="1"/>
      <c r="DU1122" s="1"/>
      <c r="DV1122" s="1"/>
      <c r="DW1122" s="1"/>
      <c r="DX1122" s="1"/>
      <c r="DY1122" s="1"/>
      <c r="DZ1122" s="1"/>
      <c r="EA1122" s="1"/>
      <c r="EB1122" s="1"/>
      <c r="EC1122" s="1"/>
      <c r="ED1122" s="1"/>
      <c r="EE1122" s="1"/>
      <c r="EF1122" s="1"/>
      <c r="EG1122" s="1"/>
      <c r="EH1122" s="1"/>
      <c r="EI1122" s="1"/>
      <c r="EJ1122" s="1"/>
      <c r="EK1122" s="1"/>
      <c r="EL1122" s="1"/>
      <c r="EM1122" s="1"/>
      <c r="EN1122" s="1"/>
      <c r="EO1122" s="1"/>
      <c r="EP1122" s="1"/>
      <c r="EQ1122" s="1"/>
      <c r="ER1122" s="1"/>
      <c r="ES1122" s="1"/>
      <c r="ET1122" s="1"/>
      <c r="EU1122" s="1"/>
      <c r="EV1122" s="1"/>
      <c r="EW1122" s="1"/>
      <c r="EX1122" s="1"/>
      <c r="EY1122" s="1"/>
      <c r="EZ1122" s="1"/>
      <c r="FA1122" s="1"/>
      <c r="FB1122" s="1"/>
      <c r="FC1122" s="1"/>
      <c r="FD1122" s="1"/>
      <c r="FE1122" s="1"/>
      <c r="FF1122" s="1"/>
      <c r="FG1122" s="1"/>
      <c r="FH1122" s="1"/>
      <c r="FI1122" s="1"/>
      <c r="FJ1122" s="1"/>
      <c r="FK1122" s="1"/>
      <c r="FL1122" s="1"/>
      <c r="FM1122" s="1"/>
      <c r="FN1122" s="1"/>
      <c r="FO1122" s="1"/>
      <c r="FP1122" s="1"/>
      <c r="FQ1122" s="1"/>
      <c r="FR1122" s="1"/>
      <c r="FS1122" s="1"/>
      <c r="FT1122" s="1"/>
      <c r="FU1122" s="1"/>
      <c r="FV1122" s="1"/>
      <c r="FW1122" s="1"/>
      <c r="FX1122" s="1"/>
      <c r="FY1122" s="1"/>
      <c r="FZ1122" s="1"/>
      <c r="GA1122" s="1"/>
      <c r="GB1122" s="1"/>
      <c r="GC1122" s="1"/>
      <c r="GD1122" s="1"/>
      <c r="GE1122" s="1"/>
      <c r="GF1122" s="1"/>
      <c r="GG1122" s="1"/>
      <c r="GH1122" s="1"/>
      <c r="GI1122" s="1"/>
      <c r="GJ1122" s="1"/>
      <c r="GK1122" s="1"/>
      <c r="GL1122" s="1"/>
      <c r="GM1122" s="1"/>
      <c r="GN1122" s="1"/>
      <c r="GO1122" s="1"/>
      <c r="GP1122" s="1"/>
      <c r="GQ1122" s="1"/>
      <c r="GR1122" s="1"/>
      <c r="GS1122" s="1"/>
      <c r="GT1122" s="1"/>
      <c r="GU1122" s="1"/>
      <c r="GV1122" s="1"/>
      <c r="GW1122" s="1"/>
      <c r="GX1122" s="1"/>
      <c r="GY1122" s="1"/>
      <c r="GZ1122" s="1"/>
      <c r="HA1122" s="1"/>
      <c r="HB1122" s="1"/>
      <c r="HC1122" s="1"/>
      <c r="HD1122" s="1"/>
      <c r="HE1122" s="1"/>
      <c r="HF1122" s="1"/>
      <c r="HG1122" s="1"/>
      <c r="HH1122" s="1"/>
      <c r="HI1122" s="1"/>
      <c r="HJ1122" s="1"/>
      <c r="HK1122" s="1"/>
      <c r="HL1122" s="1"/>
      <c r="HM1122" s="1"/>
      <c r="HN1122" s="1"/>
      <c r="HO1122" s="1"/>
      <c r="HP1122" s="1"/>
      <c r="HQ1122" s="1"/>
      <c r="HR1122" s="1"/>
      <c r="HS1122" s="1"/>
      <c r="HT1122" s="1"/>
      <c r="HU1122" s="1"/>
      <c r="HV1122" s="1"/>
      <c r="HW1122" s="1"/>
      <c r="HX1122" s="1"/>
      <c r="HY1122" s="1"/>
      <c r="HZ1122" s="1"/>
      <c r="IA1122" s="1"/>
      <c r="IB1122" s="1"/>
      <c r="IC1122" s="1"/>
      <c r="ID1122" s="1"/>
      <c r="IE1122" s="1"/>
      <c r="IF1122" s="1"/>
      <c r="IG1122" s="1"/>
      <c r="IH1122" s="1"/>
      <c r="II1122" s="1"/>
      <c r="IJ1122" s="1"/>
      <c r="IK1122" s="1"/>
      <c r="IL1122" s="1"/>
      <c r="IM1122" s="1"/>
      <c r="IN1122" s="1"/>
      <c r="IO1122" s="1"/>
      <c r="IP1122" s="1"/>
      <c r="IQ1122" s="1"/>
      <c r="IR1122" s="1"/>
      <c r="IS1122" s="1"/>
      <c r="IT1122" s="1"/>
      <c r="IU1122" s="1"/>
      <c r="IV1122" s="1"/>
      <c r="IW1122" s="1"/>
      <c r="IX1122" s="1"/>
      <c r="IY1122" s="1"/>
      <c r="IZ1122" s="1"/>
      <c r="JA1122" s="1"/>
      <c r="JB1122" s="1"/>
      <c r="JC1122" s="1"/>
      <c r="JD1122" s="1"/>
      <c r="JE1122" s="1"/>
      <c r="JF1122" s="1"/>
      <c r="JG1122" s="1"/>
      <c r="JH1122" s="1"/>
      <c r="JI1122" s="1"/>
      <c r="JJ1122" s="1"/>
      <c r="JK1122" s="1"/>
      <c r="JL1122" s="1"/>
      <c r="JM1122" s="1"/>
      <c r="JN1122" s="1"/>
      <c r="JO1122" s="1"/>
      <c r="JP1122" s="1"/>
      <c r="JQ1122" s="1"/>
      <c r="JR1122" s="1"/>
      <c r="JS1122" s="1"/>
      <c r="JT1122" s="1"/>
      <c r="JU1122" s="1"/>
      <c r="JV1122" s="1"/>
    </row>
    <row r="1123" spans="1:282" x14ac:dyDescent="0.15">
      <c r="A1123" s="1"/>
      <c r="B1123" s="1"/>
      <c r="C1123" s="1"/>
      <c r="D1123" s="1"/>
      <c r="E1123" s="1"/>
      <c r="F1123" s="36"/>
      <c r="G1123" s="36"/>
      <c r="H1123" s="1"/>
      <c r="I1123" s="1"/>
      <c r="J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c r="DT1123" s="1"/>
      <c r="DU1123" s="1"/>
      <c r="DV1123" s="1"/>
      <c r="DW1123" s="1"/>
      <c r="DX1123" s="1"/>
      <c r="DY1123" s="1"/>
      <c r="DZ1123" s="1"/>
      <c r="EA1123" s="1"/>
      <c r="EB1123" s="1"/>
      <c r="EC1123" s="1"/>
      <c r="ED1123" s="1"/>
      <c r="EE1123" s="1"/>
      <c r="EF1123" s="1"/>
      <c r="EG1123" s="1"/>
      <c r="EH1123" s="1"/>
      <c r="EI1123" s="1"/>
      <c r="EJ1123" s="1"/>
      <c r="EK1123" s="1"/>
      <c r="EL1123" s="1"/>
      <c r="EM1123" s="1"/>
      <c r="EN1123" s="1"/>
      <c r="EO1123" s="1"/>
      <c r="EP1123" s="1"/>
      <c r="EQ1123" s="1"/>
      <c r="ER1123" s="1"/>
      <c r="ES1123" s="1"/>
      <c r="ET1123" s="1"/>
      <c r="EU1123" s="1"/>
      <c r="EV1123" s="1"/>
      <c r="EW1123" s="1"/>
      <c r="EX1123" s="1"/>
      <c r="EY1123" s="1"/>
      <c r="EZ1123" s="1"/>
      <c r="FA1123" s="1"/>
      <c r="FB1123" s="1"/>
      <c r="FC1123" s="1"/>
      <c r="FD1123" s="1"/>
      <c r="FE1123" s="1"/>
      <c r="FF1123" s="1"/>
      <c r="FG1123" s="1"/>
      <c r="FH1123" s="1"/>
      <c r="FI1123" s="1"/>
      <c r="FJ1123" s="1"/>
      <c r="FK1123" s="1"/>
      <c r="FL1123" s="1"/>
      <c r="FM1123" s="1"/>
      <c r="FN1123" s="1"/>
      <c r="FO1123" s="1"/>
      <c r="FP1123" s="1"/>
      <c r="FQ1123" s="1"/>
      <c r="FR1123" s="1"/>
      <c r="FS1123" s="1"/>
      <c r="FT1123" s="1"/>
      <c r="FU1123" s="1"/>
      <c r="FV1123" s="1"/>
      <c r="FW1123" s="1"/>
      <c r="FX1123" s="1"/>
      <c r="FY1123" s="1"/>
      <c r="FZ1123" s="1"/>
      <c r="GA1123" s="1"/>
      <c r="GB1123" s="1"/>
      <c r="GC1123" s="1"/>
      <c r="GD1123" s="1"/>
      <c r="GE1123" s="1"/>
      <c r="GF1123" s="1"/>
      <c r="GG1123" s="1"/>
      <c r="GH1123" s="1"/>
      <c r="GI1123" s="1"/>
      <c r="GJ1123" s="1"/>
      <c r="GK1123" s="1"/>
      <c r="GL1123" s="1"/>
      <c r="GM1123" s="1"/>
      <c r="GN1123" s="1"/>
      <c r="GO1123" s="1"/>
      <c r="GP1123" s="1"/>
      <c r="GQ1123" s="1"/>
      <c r="GR1123" s="1"/>
      <c r="GS1123" s="1"/>
      <c r="GT1123" s="1"/>
      <c r="GU1123" s="1"/>
      <c r="GV1123" s="1"/>
      <c r="GW1123" s="1"/>
      <c r="GX1123" s="1"/>
      <c r="GY1123" s="1"/>
      <c r="GZ1123" s="1"/>
      <c r="HA1123" s="1"/>
      <c r="HB1123" s="1"/>
      <c r="HC1123" s="1"/>
      <c r="HD1123" s="1"/>
      <c r="HE1123" s="1"/>
      <c r="HF1123" s="1"/>
      <c r="HG1123" s="1"/>
      <c r="HH1123" s="1"/>
      <c r="HI1123" s="1"/>
      <c r="HJ1123" s="1"/>
      <c r="HK1123" s="1"/>
      <c r="HL1123" s="1"/>
      <c r="HM1123" s="1"/>
      <c r="HN1123" s="1"/>
      <c r="HO1123" s="1"/>
      <c r="HP1123" s="1"/>
      <c r="HQ1123" s="1"/>
      <c r="HR1123" s="1"/>
      <c r="HS1123" s="1"/>
      <c r="HT1123" s="1"/>
      <c r="HU1123" s="1"/>
      <c r="HV1123" s="1"/>
      <c r="HW1123" s="1"/>
      <c r="HX1123" s="1"/>
      <c r="HY1123" s="1"/>
      <c r="HZ1123" s="1"/>
      <c r="IA1123" s="1"/>
      <c r="IB1123" s="1"/>
      <c r="IC1123" s="1"/>
      <c r="ID1123" s="1"/>
      <c r="IE1123" s="1"/>
      <c r="IF1123" s="1"/>
      <c r="IG1123" s="1"/>
      <c r="IH1123" s="1"/>
      <c r="II1123" s="1"/>
      <c r="IJ1123" s="1"/>
      <c r="IK1123" s="1"/>
      <c r="IL1123" s="1"/>
      <c r="IM1123" s="1"/>
      <c r="IN1123" s="1"/>
      <c r="IO1123" s="1"/>
      <c r="IP1123" s="1"/>
      <c r="IQ1123" s="1"/>
      <c r="IR1123" s="1"/>
      <c r="IS1123" s="1"/>
      <c r="IT1123" s="1"/>
      <c r="IU1123" s="1"/>
      <c r="IV1123" s="1"/>
      <c r="IW1123" s="1"/>
      <c r="IX1123" s="1"/>
      <c r="IY1123" s="1"/>
      <c r="IZ1123" s="1"/>
      <c r="JA1123" s="1"/>
      <c r="JB1123" s="1"/>
      <c r="JC1123" s="1"/>
      <c r="JD1123" s="1"/>
      <c r="JE1123" s="1"/>
      <c r="JF1123" s="1"/>
      <c r="JG1123" s="1"/>
      <c r="JH1123" s="1"/>
      <c r="JI1123" s="1"/>
      <c r="JJ1123" s="1"/>
      <c r="JK1123" s="1"/>
      <c r="JL1123" s="1"/>
      <c r="JM1123" s="1"/>
      <c r="JN1123" s="1"/>
      <c r="JO1123" s="1"/>
      <c r="JP1123" s="1"/>
      <c r="JQ1123" s="1"/>
      <c r="JR1123" s="1"/>
      <c r="JS1123" s="1"/>
      <c r="JT1123" s="1"/>
      <c r="JU1123" s="1"/>
      <c r="JV1123" s="1"/>
    </row>
    <row r="1124" spans="1:282" x14ac:dyDescent="0.15">
      <c r="A1124" s="1"/>
      <c r="B1124" s="1"/>
      <c r="C1124" s="1"/>
      <c r="D1124" s="1"/>
      <c r="E1124" s="1"/>
      <c r="F1124" s="36"/>
      <c r="G1124" s="36"/>
      <c r="H1124" s="1"/>
      <c r="I1124" s="1"/>
      <c r="J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1"/>
      <c r="DI1124" s="1"/>
      <c r="DJ1124" s="1"/>
      <c r="DK1124" s="1"/>
      <c r="DL1124" s="1"/>
      <c r="DM1124" s="1"/>
      <c r="DN1124" s="1"/>
      <c r="DO1124" s="1"/>
      <c r="DP1124" s="1"/>
      <c r="DQ1124" s="1"/>
      <c r="DR1124" s="1"/>
      <c r="DS1124" s="1"/>
      <c r="DT1124" s="1"/>
      <c r="DU1124" s="1"/>
      <c r="DV1124" s="1"/>
      <c r="DW1124" s="1"/>
      <c r="DX1124" s="1"/>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c r="FH1124" s="1"/>
      <c r="FI1124" s="1"/>
      <c r="FJ1124" s="1"/>
      <c r="FK1124" s="1"/>
      <c r="FL1124" s="1"/>
      <c r="FM1124" s="1"/>
      <c r="FN1124" s="1"/>
      <c r="FO1124" s="1"/>
      <c r="FP1124" s="1"/>
      <c r="FQ1124" s="1"/>
      <c r="FR1124" s="1"/>
      <c r="FS1124" s="1"/>
      <c r="FT1124" s="1"/>
      <c r="FU1124" s="1"/>
      <c r="FV1124" s="1"/>
      <c r="FW1124" s="1"/>
      <c r="FX1124" s="1"/>
      <c r="FY1124" s="1"/>
      <c r="FZ1124" s="1"/>
      <c r="GA1124" s="1"/>
      <c r="GB1124" s="1"/>
      <c r="GC1124" s="1"/>
      <c r="GD1124" s="1"/>
      <c r="GE1124" s="1"/>
      <c r="GF1124" s="1"/>
      <c r="GG1124" s="1"/>
      <c r="GH1124" s="1"/>
      <c r="GI1124" s="1"/>
      <c r="GJ1124" s="1"/>
      <c r="GK1124" s="1"/>
      <c r="GL1124" s="1"/>
      <c r="GM1124" s="1"/>
      <c r="GN1124" s="1"/>
      <c r="GO1124" s="1"/>
      <c r="GP1124" s="1"/>
      <c r="GQ1124" s="1"/>
      <c r="GR1124" s="1"/>
      <c r="GS1124" s="1"/>
      <c r="GT1124" s="1"/>
      <c r="GU1124" s="1"/>
      <c r="GV1124" s="1"/>
      <c r="GW1124" s="1"/>
      <c r="GX1124" s="1"/>
      <c r="GY1124" s="1"/>
      <c r="GZ1124" s="1"/>
      <c r="HA1124" s="1"/>
      <c r="HB1124" s="1"/>
      <c r="HC1124" s="1"/>
      <c r="HD1124" s="1"/>
      <c r="HE1124" s="1"/>
      <c r="HF1124" s="1"/>
      <c r="HG1124" s="1"/>
      <c r="HH1124" s="1"/>
      <c r="HI1124" s="1"/>
      <c r="HJ1124" s="1"/>
      <c r="HK1124" s="1"/>
      <c r="HL1124" s="1"/>
      <c r="HM1124" s="1"/>
      <c r="HN1124" s="1"/>
      <c r="HO1124" s="1"/>
      <c r="HP1124" s="1"/>
      <c r="HQ1124" s="1"/>
      <c r="HR1124" s="1"/>
      <c r="HS1124" s="1"/>
      <c r="HT1124" s="1"/>
      <c r="HU1124" s="1"/>
      <c r="HV1124" s="1"/>
      <c r="HW1124" s="1"/>
      <c r="HX1124" s="1"/>
      <c r="HY1124" s="1"/>
      <c r="HZ1124" s="1"/>
      <c r="IA1124" s="1"/>
      <c r="IB1124" s="1"/>
      <c r="IC1124" s="1"/>
      <c r="ID1124" s="1"/>
      <c r="IE1124" s="1"/>
      <c r="IF1124" s="1"/>
      <c r="IG1124" s="1"/>
      <c r="IH1124" s="1"/>
      <c r="II1124" s="1"/>
      <c r="IJ1124" s="1"/>
      <c r="IK1124" s="1"/>
      <c r="IL1124" s="1"/>
      <c r="IM1124" s="1"/>
      <c r="IN1124" s="1"/>
      <c r="IO1124" s="1"/>
      <c r="IP1124" s="1"/>
      <c r="IQ1124" s="1"/>
      <c r="IR1124" s="1"/>
      <c r="IS1124" s="1"/>
      <c r="IT1124" s="1"/>
      <c r="IU1124" s="1"/>
      <c r="IV1124" s="1"/>
      <c r="IW1124" s="1"/>
      <c r="IX1124" s="1"/>
      <c r="IY1124" s="1"/>
      <c r="IZ1124" s="1"/>
      <c r="JA1124" s="1"/>
      <c r="JB1124" s="1"/>
      <c r="JC1124" s="1"/>
      <c r="JD1124" s="1"/>
      <c r="JE1124" s="1"/>
      <c r="JF1124" s="1"/>
      <c r="JG1124" s="1"/>
      <c r="JH1124" s="1"/>
      <c r="JI1124" s="1"/>
      <c r="JJ1124" s="1"/>
      <c r="JK1124" s="1"/>
      <c r="JL1124" s="1"/>
      <c r="JM1124" s="1"/>
      <c r="JN1124" s="1"/>
      <c r="JO1124" s="1"/>
      <c r="JP1124" s="1"/>
      <c r="JQ1124" s="1"/>
      <c r="JR1124" s="1"/>
      <c r="JS1124" s="1"/>
      <c r="JT1124" s="1"/>
      <c r="JU1124" s="1"/>
      <c r="JV1124" s="1"/>
    </row>
  </sheetData>
  <phoneticPr fontId="3" type="noConversion"/>
  <conditionalFormatting sqref="D8:D78">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78"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90</v>
      </c>
    </row>
    <row r="4" spans="2:2" x14ac:dyDescent="0.2">
      <c r="B4" s="6" t="s">
        <v>91</v>
      </c>
    </row>
  </sheetData>
  <pageMargins left="0.7" right="0.7" top="0.75" bottom="0.75" header="0.3" footer="0.3"/>
  <pageSetup orientation="portrait" horizontalDpi="0" verticalDpi="0" r:id="rId1"/>
</worksheet>
</file>

<file path=docMetadata/LabelInfo.xml><?xml version="1.0" encoding="utf-8"?>
<clbl:labelList xmlns:clbl="http://schemas.microsoft.com/office/2020/mipLabelMetadata">
  <clbl:label id="{185bf030-fb3e-4e19-b4da-6419ce38d46d}" enabled="1" method="Standard" siteId="{b586fd95-a90e-488c-a32b-2c6581fc05c9}"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Tsunamis</vt:lpstr>
      <vt:lpstr>-Disclaimer-</vt:lpstr>
      <vt:lpstr>Tsunamis!Print_Area</vt:lpstr>
    </vt:vector>
  </TitlesOfParts>
  <Manager/>
  <Company>Smartsheet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Alexandra Ragazhinskaya</dc:creator>
  <cp:keywords/>
  <dc:description/>
  <cp:lastModifiedBy>Andrea Edwards</cp:lastModifiedBy>
  <cp:revision/>
  <dcterms:created xsi:type="dcterms:W3CDTF">2015-02-24T20:54:23Z</dcterms:created>
  <dcterms:modified xsi:type="dcterms:W3CDTF">2025-12-03T19:28:54Z</dcterms:modified>
  <cp:category/>
  <cp:contentStatus/>
</cp:coreProperties>
</file>